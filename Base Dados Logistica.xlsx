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5"/>
  <workbookPr defaultThemeVersion="166925"/>
  <xr:revisionPtr revIDLastSave="433" documentId="11_92485C45C1F39E42E268565A893E8C18510380CC" xr6:coauthVersionLast="47" xr6:coauthVersionMax="47" xr10:uidLastSave="{1FB1210A-8E22-4157-A051-11AADEF2202A}"/>
  <bookViews>
    <workbookView xWindow="240" yWindow="105" windowWidth="14805" windowHeight="8010" xr2:uid="{00000000-000D-0000-FFFF-FFFF00000000}"/>
  </bookViews>
  <sheets>
    <sheet name="Tabela_NFW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D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A2" i="1"/>
  <c r="C2" i="1" s="1"/>
  <c r="A3" i="1"/>
  <c r="C3" i="1" s="1"/>
  <c r="A4" i="1"/>
  <c r="C4" i="1" s="1"/>
  <c r="A5" i="1"/>
  <c r="C5" i="1" s="1"/>
  <c r="A6" i="1"/>
  <c r="C6" i="1" s="1"/>
  <c r="A7" i="1"/>
  <c r="C7" i="1" s="1"/>
  <c r="A8" i="1"/>
  <c r="C8" i="1" s="1"/>
  <c r="A9" i="1"/>
  <c r="C9" i="1" s="1"/>
  <c r="A10" i="1"/>
  <c r="C10" i="1" s="1"/>
  <c r="A11" i="1"/>
  <c r="C11" i="1" s="1"/>
  <c r="A12" i="1"/>
  <c r="C12" i="1" s="1"/>
  <c r="A13" i="1"/>
  <c r="C13" i="1" s="1"/>
  <c r="A14" i="1"/>
  <c r="C14" i="1" s="1"/>
  <c r="A15" i="1"/>
  <c r="C15" i="1" s="1"/>
  <c r="A16" i="1"/>
  <c r="C16" i="1" s="1"/>
  <c r="A17" i="1"/>
  <c r="C17" i="1" s="1"/>
  <c r="A18" i="1"/>
  <c r="C18" i="1" s="1"/>
  <c r="A19" i="1"/>
  <c r="C19" i="1" s="1"/>
  <c r="A20" i="1"/>
  <c r="C20" i="1" s="1"/>
  <c r="A21" i="1"/>
  <c r="C21" i="1" s="1"/>
  <c r="A22" i="1"/>
  <c r="C22" i="1" s="1"/>
  <c r="A23" i="1"/>
  <c r="C23" i="1" s="1"/>
  <c r="A24" i="1"/>
  <c r="C24" i="1" s="1"/>
  <c r="A25" i="1"/>
  <c r="C25" i="1" s="1"/>
  <c r="A26" i="1"/>
  <c r="C26" i="1" s="1"/>
  <c r="A27" i="1"/>
  <c r="C27" i="1" s="1"/>
  <c r="A28" i="1"/>
  <c r="C28" i="1" s="1"/>
  <c r="A29" i="1"/>
  <c r="C29" i="1" s="1"/>
  <c r="A30" i="1"/>
  <c r="C30" i="1" s="1"/>
  <c r="A31" i="1"/>
  <c r="C31" i="1" s="1"/>
  <c r="A32" i="1"/>
  <c r="C32" i="1" s="1"/>
  <c r="A33" i="1"/>
  <c r="C33" i="1" s="1"/>
  <c r="A34" i="1"/>
  <c r="C34" i="1" s="1"/>
  <c r="A35" i="1"/>
  <c r="C35" i="1" s="1"/>
  <c r="A36" i="1"/>
  <c r="C36" i="1" s="1"/>
  <c r="A37" i="1"/>
  <c r="C37" i="1" s="1"/>
  <c r="A38" i="1"/>
  <c r="C38" i="1" s="1"/>
  <c r="A39" i="1"/>
  <c r="C39" i="1" s="1"/>
  <c r="A40" i="1"/>
  <c r="C40" i="1" s="1"/>
  <c r="A41" i="1"/>
  <c r="C41" i="1" s="1"/>
  <c r="A42" i="1"/>
  <c r="C42" i="1" s="1"/>
  <c r="A43" i="1"/>
  <c r="C43" i="1" s="1"/>
  <c r="A44" i="1"/>
  <c r="C44" i="1" s="1"/>
  <c r="A45" i="1"/>
  <c r="C45" i="1" s="1"/>
  <c r="A46" i="1"/>
  <c r="C46" i="1" s="1"/>
  <c r="A47" i="1"/>
  <c r="C47" i="1" s="1"/>
  <c r="A48" i="1"/>
  <c r="C48" i="1" s="1"/>
  <c r="A49" i="1"/>
  <c r="C49" i="1" s="1"/>
  <c r="A50" i="1"/>
  <c r="C50" i="1" s="1"/>
  <c r="A51" i="1"/>
  <c r="C51" i="1" s="1"/>
  <c r="A52" i="1"/>
  <c r="C52" i="1" s="1"/>
  <c r="A53" i="1"/>
  <c r="C53" i="1" s="1"/>
  <c r="A54" i="1"/>
  <c r="C54" i="1" s="1"/>
  <c r="A55" i="1"/>
  <c r="C55" i="1" s="1"/>
  <c r="A56" i="1"/>
  <c r="C56" i="1" s="1"/>
  <c r="A57" i="1"/>
  <c r="C57" i="1" s="1"/>
  <c r="A58" i="1"/>
  <c r="C58" i="1" s="1"/>
  <c r="A59" i="1"/>
  <c r="C59" i="1" s="1"/>
  <c r="A60" i="1"/>
  <c r="C60" i="1" s="1"/>
  <c r="A61" i="1"/>
  <c r="C61" i="1" s="1"/>
  <c r="A62" i="1"/>
  <c r="C62" i="1" s="1"/>
  <c r="A63" i="1"/>
  <c r="C63" i="1" s="1"/>
  <c r="A64" i="1"/>
  <c r="C64" i="1" s="1"/>
  <c r="A65" i="1"/>
  <c r="C65" i="1" s="1"/>
  <c r="A66" i="1"/>
  <c r="C66" i="1" s="1"/>
  <c r="A67" i="1"/>
  <c r="C67" i="1" s="1"/>
  <c r="A68" i="1"/>
  <c r="C68" i="1" s="1"/>
  <c r="A69" i="1"/>
  <c r="C69" i="1" s="1"/>
  <c r="A70" i="1"/>
  <c r="C70" i="1" s="1"/>
  <c r="A71" i="1"/>
  <c r="C71" i="1" s="1"/>
  <c r="A72" i="1"/>
  <c r="C72" i="1" s="1"/>
  <c r="A73" i="1"/>
  <c r="C73" i="1" s="1"/>
  <c r="A74" i="1"/>
  <c r="C74" i="1" s="1"/>
  <c r="A75" i="1"/>
  <c r="C75" i="1" s="1"/>
  <c r="A76" i="1"/>
  <c r="C76" i="1" s="1"/>
  <c r="A77" i="1"/>
  <c r="C77" i="1" s="1"/>
  <c r="A78" i="1"/>
  <c r="C78" i="1" s="1"/>
  <c r="A79" i="1"/>
  <c r="C79" i="1" s="1"/>
  <c r="A80" i="1"/>
  <c r="C80" i="1" s="1"/>
  <c r="A81" i="1"/>
  <c r="C81" i="1" s="1"/>
  <c r="A82" i="1"/>
  <c r="C82" i="1" s="1"/>
  <c r="A83" i="1"/>
  <c r="C83" i="1" s="1"/>
  <c r="A84" i="1"/>
  <c r="C84" i="1" s="1"/>
  <c r="A85" i="1"/>
  <c r="C85" i="1" s="1"/>
  <c r="A86" i="1"/>
  <c r="C86" i="1" s="1"/>
  <c r="A87" i="1"/>
  <c r="C87" i="1" s="1"/>
  <c r="A88" i="1"/>
  <c r="C88" i="1" s="1"/>
  <c r="A89" i="1"/>
  <c r="C89" i="1" s="1"/>
  <c r="A90" i="1"/>
  <c r="C90" i="1" s="1"/>
  <c r="A91" i="1"/>
  <c r="C91" i="1" s="1"/>
  <c r="A92" i="1"/>
  <c r="C92" i="1" s="1"/>
  <c r="A93" i="1"/>
  <c r="C93" i="1" s="1"/>
  <c r="A94" i="1"/>
  <c r="C94" i="1" s="1"/>
  <c r="A95" i="1"/>
  <c r="C95" i="1" s="1"/>
  <c r="A96" i="1"/>
  <c r="C96" i="1" s="1"/>
  <c r="A97" i="1"/>
  <c r="C97" i="1" s="1"/>
  <c r="A98" i="1"/>
  <c r="C98" i="1" s="1"/>
  <c r="A99" i="1"/>
  <c r="C99" i="1" s="1"/>
  <c r="A100" i="1"/>
  <c r="C100" i="1" s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J2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G2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F2" i="1" l="1"/>
  <c r="K2" i="1"/>
  <c r="I100" i="1"/>
  <c r="K100" i="1"/>
  <c r="I99" i="1"/>
  <c r="K99" i="1"/>
  <c r="I98" i="1"/>
  <c r="K98" i="1"/>
  <c r="I97" i="1"/>
  <c r="K97" i="1"/>
  <c r="I96" i="1"/>
  <c r="K96" i="1"/>
  <c r="I95" i="1"/>
  <c r="K95" i="1"/>
  <c r="I94" i="1"/>
  <c r="K94" i="1"/>
  <c r="I93" i="1"/>
  <c r="K93" i="1"/>
  <c r="I92" i="1"/>
  <c r="K92" i="1"/>
  <c r="I91" i="1"/>
  <c r="K91" i="1"/>
  <c r="I90" i="1"/>
  <c r="K90" i="1"/>
  <c r="I89" i="1"/>
  <c r="K89" i="1"/>
  <c r="I88" i="1"/>
  <c r="K88" i="1"/>
  <c r="I87" i="1"/>
  <c r="K87" i="1"/>
  <c r="I86" i="1"/>
  <c r="K86" i="1"/>
  <c r="I85" i="1"/>
  <c r="K85" i="1"/>
  <c r="I84" i="1"/>
  <c r="K84" i="1"/>
  <c r="I83" i="1"/>
  <c r="K83" i="1"/>
  <c r="I82" i="1"/>
  <c r="K82" i="1"/>
  <c r="I81" i="1"/>
  <c r="K81" i="1"/>
  <c r="I80" i="1"/>
  <c r="K80" i="1"/>
  <c r="I79" i="1"/>
  <c r="K79" i="1"/>
  <c r="I78" i="1"/>
  <c r="K78" i="1"/>
  <c r="I77" i="1"/>
  <c r="K77" i="1"/>
  <c r="I76" i="1"/>
  <c r="K76" i="1"/>
  <c r="I75" i="1"/>
  <c r="K75" i="1"/>
  <c r="I74" i="1"/>
  <c r="K74" i="1"/>
  <c r="I73" i="1"/>
  <c r="K73" i="1"/>
  <c r="I72" i="1"/>
  <c r="K72" i="1"/>
  <c r="I71" i="1"/>
  <c r="K71" i="1"/>
  <c r="I70" i="1"/>
  <c r="K70" i="1"/>
  <c r="I69" i="1"/>
  <c r="K69" i="1"/>
  <c r="I68" i="1"/>
  <c r="K68" i="1"/>
  <c r="I67" i="1"/>
  <c r="K67" i="1"/>
  <c r="I66" i="1"/>
  <c r="K66" i="1"/>
  <c r="I65" i="1"/>
  <c r="K65" i="1"/>
  <c r="I64" i="1"/>
  <c r="K64" i="1"/>
  <c r="I63" i="1"/>
  <c r="K63" i="1"/>
  <c r="I62" i="1"/>
  <c r="K62" i="1"/>
  <c r="I61" i="1"/>
  <c r="K61" i="1"/>
  <c r="I60" i="1"/>
  <c r="K60" i="1"/>
  <c r="I59" i="1"/>
  <c r="K59" i="1"/>
  <c r="I58" i="1"/>
  <c r="K58" i="1"/>
  <c r="I57" i="1"/>
  <c r="K57" i="1"/>
  <c r="I56" i="1"/>
  <c r="K56" i="1"/>
  <c r="I55" i="1"/>
  <c r="K55" i="1"/>
  <c r="I54" i="1"/>
  <c r="K54" i="1"/>
  <c r="I53" i="1"/>
  <c r="K53" i="1"/>
  <c r="I52" i="1"/>
  <c r="K52" i="1"/>
  <c r="I51" i="1"/>
  <c r="K51" i="1"/>
  <c r="I50" i="1"/>
  <c r="K50" i="1"/>
  <c r="I49" i="1"/>
  <c r="K49" i="1"/>
  <c r="I48" i="1"/>
  <c r="K48" i="1"/>
  <c r="I47" i="1"/>
  <c r="K47" i="1"/>
  <c r="I46" i="1"/>
  <c r="K46" i="1"/>
  <c r="I45" i="1"/>
  <c r="K45" i="1"/>
  <c r="I44" i="1"/>
  <c r="K44" i="1"/>
  <c r="I43" i="1"/>
  <c r="K43" i="1"/>
  <c r="I42" i="1"/>
  <c r="K42" i="1"/>
  <c r="I41" i="1"/>
  <c r="K41" i="1"/>
  <c r="I40" i="1"/>
  <c r="K40" i="1"/>
  <c r="I39" i="1"/>
  <c r="K39" i="1"/>
  <c r="I38" i="1"/>
  <c r="K38" i="1"/>
  <c r="I37" i="1"/>
  <c r="K37" i="1"/>
  <c r="I36" i="1"/>
  <c r="K36" i="1"/>
  <c r="I35" i="1"/>
  <c r="K35" i="1"/>
  <c r="I34" i="1"/>
  <c r="K34" i="1"/>
  <c r="I33" i="1"/>
  <c r="K33" i="1"/>
  <c r="I32" i="1"/>
  <c r="K32" i="1"/>
  <c r="I31" i="1"/>
  <c r="K31" i="1"/>
  <c r="I30" i="1"/>
  <c r="K30" i="1"/>
  <c r="I29" i="1"/>
  <c r="K29" i="1"/>
  <c r="I28" i="1"/>
  <c r="K28" i="1"/>
  <c r="I27" i="1"/>
  <c r="K27" i="1"/>
  <c r="I26" i="1"/>
  <c r="K26" i="1"/>
  <c r="I25" i="1"/>
  <c r="K25" i="1"/>
  <c r="I24" i="1"/>
  <c r="K24" i="1"/>
  <c r="I23" i="1"/>
  <c r="K23" i="1"/>
  <c r="I22" i="1"/>
  <c r="K22" i="1"/>
  <c r="I21" i="1"/>
  <c r="K21" i="1"/>
  <c r="I20" i="1"/>
  <c r="K20" i="1"/>
  <c r="I19" i="1"/>
  <c r="K19" i="1"/>
  <c r="I18" i="1"/>
  <c r="K18" i="1"/>
  <c r="I17" i="1"/>
  <c r="K17" i="1"/>
  <c r="I16" i="1"/>
  <c r="K16" i="1"/>
  <c r="I15" i="1"/>
  <c r="K15" i="1"/>
  <c r="I14" i="1"/>
  <c r="K14" i="1"/>
  <c r="I13" i="1"/>
  <c r="K13" i="1"/>
  <c r="I12" i="1"/>
  <c r="K12" i="1"/>
  <c r="I11" i="1"/>
  <c r="K11" i="1"/>
  <c r="I10" i="1"/>
  <c r="K10" i="1"/>
  <c r="I9" i="1"/>
  <c r="K9" i="1"/>
  <c r="I8" i="1"/>
  <c r="K8" i="1"/>
  <c r="I7" i="1"/>
  <c r="K7" i="1"/>
  <c r="I6" i="1"/>
  <c r="K6" i="1"/>
  <c r="I5" i="1"/>
  <c r="K5" i="1"/>
  <c r="I4" i="1"/>
  <c r="K4" i="1"/>
  <c r="I3" i="1"/>
  <c r="K3" i="1"/>
  <c r="I2" i="1"/>
  <c r="V2" i="1"/>
  <c r="U2" i="1"/>
  <c r="F100" i="1"/>
  <c r="F99" i="1"/>
  <c r="F98" i="1"/>
  <c r="F97" i="1"/>
  <c r="F96" i="1"/>
  <c r="F95" i="1"/>
  <c r="F94" i="1"/>
  <c r="F93" i="1"/>
  <c r="F92" i="1"/>
  <c r="F91" i="1"/>
  <c r="F90" i="1"/>
  <c r="F89" i="1"/>
  <c r="F88" i="1"/>
  <c r="F87" i="1"/>
  <c r="F86" i="1"/>
  <c r="F85" i="1"/>
  <c r="F84" i="1"/>
  <c r="F83" i="1"/>
  <c r="F82" i="1"/>
  <c r="F81" i="1"/>
  <c r="F80" i="1"/>
  <c r="F79" i="1"/>
  <c r="F78" i="1"/>
  <c r="F77" i="1"/>
  <c r="F76" i="1"/>
  <c r="F75" i="1"/>
  <c r="F74" i="1"/>
  <c r="F73" i="1"/>
  <c r="F72" i="1"/>
  <c r="F71" i="1"/>
  <c r="F70" i="1"/>
  <c r="F69" i="1"/>
  <c r="F68" i="1"/>
  <c r="F67" i="1"/>
  <c r="F66" i="1"/>
  <c r="F65" i="1"/>
  <c r="F64" i="1"/>
  <c r="F63" i="1"/>
  <c r="F62" i="1"/>
  <c r="F61" i="1"/>
  <c r="F60" i="1"/>
  <c r="F59" i="1"/>
  <c r="F58" i="1"/>
  <c r="F57" i="1"/>
  <c r="F56" i="1"/>
  <c r="F55" i="1"/>
  <c r="F54" i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10" i="1"/>
  <c r="F9" i="1"/>
  <c r="F8" i="1"/>
  <c r="F7" i="1"/>
  <c r="F6" i="1"/>
  <c r="F5" i="1"/>
  <c r="F4" i="1"/>
  <c r="F3" i="1"/>
  <c r="T2" i="1" l="1"/>
</calcChain>
</file>

<file path=xl/sharedStrings.xml><?xml version="1.0" encoding="utf-8"?>
<sst xmlns="http://schemas.openxmlformats.org/spreadsheetml/2006/main" count="25" uniqueCount="22">
  <si>
    <t>ID_Pedido</t>
  </si>
  <si>
    <t>Data_Emissão</t>
  </si>
  <si>
    <t>NF</t>
  </si>
  <si>
    <t>Cliente</t>
  </si>
  <si>
    <t>Cidade</t>
  </si>
  <si>
    <t>Custo_Operacional</t>
  </si>
  <si>
    <t>Valor_NF</t>
  </si>
  <si>
    <t>Peso_kg</t>
  </si>
  <si>
    <t>Transportadora</t>
  </si>
  <si>
    <t>Status</t>
  </si>
  <si>
    <t>Preço por KG</t>
  </si>
  <si>
    <t>Frete por KG</t>
  </si>
  <si>
    <t>Faturamento Frete (Autorizadas)</t>
  </si>
  <si>
    <t>Faturamento NF (Autorizadas)</t>
  </si>
  <si>
    <t>Notas Autorizadas</t>
  </si>
  <si>
    <t>Porto Alegre</t>
  </si>
  <si>
    <t>LogSul</t>
  </si>
  <si>
    <t>Canoas</t>
  </si>
  <si>
    <t>TransPampa</t>
  </si>
  <si>
    <t>Cachoeirinha</t>
  </si>
  <si>
    <t>Expresso-RS</t>
  </si>
  <si>
    <t>Viamão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</si>
</sst>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3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7">
    <border>
      <left/>
      <right/>
      <top/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15">
    <xf numFmtId="0" fontId="0" fillId="0" borderId="0" xfId="0"/>
    <xf numFmtId="164" fontId="0" fillId="0" borderId="0" xfId="0" applyNumberForma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/>
    <xf numFmtId="0" fontId="1" fillId="0" borderId="0" xfId="0" applyFont="1"/>
    <xf numFmtId="14" fontId="1" fillId="0" borderId="0" xfId="0" applyNumberFormat="1" applyFont="1" applyAlignment="1">
      <alignment horizontal="center"/>
    </xf>
    <xf numFmtId="0" fontId="0" fillId="0" borderId="2" xfId="0" applyFont="1" applyBorder="1"/>
    <xf numFmtId="0" fontId="2" fillId="2" borderId="3" xfId="0" applyFont="1" applyFill="1" applyBorder="1"/>
    <xf numFmtId="164" fontId="0" fillId="0" borderId="5" xfId="0" applyNumberFormat="1" applyFont="1" applyBorder="1"/>
    <xf numFmtId="0" fontId="2" fillId="2" borderId="4" xfId="0" applyFont="1" applyFill="1" applyBorder="1"/>
    <xf numFmtId="164" fontId="0" fillId="0" borderId="6" xfId="0" applyNumberFormat="1" applyFont="1" applyBorder="1"/>
    <xf numFmtId="164" fontId="2" fillId="2" borderId="1" xfId="0" applyNumberFormat="1" applyFont="1" applyFill="1" applyBorder="1"/>
    <xf numFmtId="0" fontId="0" fillId="0" borderId="0" xfId="0" applyFont="1" applyAlignment="1">
      <alignment horizontal="center"/>
    </xf>
    <xf numFmtId="164" fontId="0" fillId="0" borderId="0" xfId="0" applyNumberFormat="1" applyFont="1"/>
  </cellXfs>
  <cellStyles count="1">
    <cellStyle name="Normal" xfId="0" builtinId="0"/>
  </cellStyles>
  <dxfs count="16">
    <dxf>
      <numFmt numFmtId="164" formatCode="&quot;R$&quot;\ #,##0.00"/>
    </dxf>
    <dxf>
      <font>
        <u/>
      </font>
      <numFmt numFmtId="164" formatCode="&quot;R$&quot;\ #,##0.00"/>
    </dxf>
    <dxf>
      <font>
        <u/>
      </font>
      <numFmt numFmtId="0" formatCode="General"/>
      <alignment horizontal="center"/>
    </dxf>
    <dxf>
      <font>
        <u/>
      </font>
      <numFmt numFmtId="0" formatCode="General"/>
      <alignment horizontal="center"/>
    </dxf>
    <dxf>
      <font>
        <u/>
      </font>
      <numFmt numFmtId="0" formatCode="General"/>
      <alignment horizontal="center"/>
    </dxf>
    <dxf>
      <font>
        <u/>
      </font>
      <numFmt numFmtId="164" formatCode="&quot;R$&quot;\ #,##0.00"/>
    </dxf>
    <dxf>
      <font>
        <u/>
      </font>
      <numFmt numFmtId="164" formatCode="&quot;R$&quot;\ #,##0.00"/>
    </dxf>
    <dxf>
      <font>
        <u/>
      </font>
      <numFmt numFmtId="0" formatCode="General"/>
      <alignment horizontal="center"/>
    </dxf>
    <dxf>
      <font>
        <u/>
      </font>
      <numFmt numFmtId="0" formatCode="General"/>
      <alignment horizontal="left"/>
    </dxf>
    <dxf>
      <font>
        <u/>
      </font>
      <numFmt numFmtId="0" formatCode="General"/>
      <alignment horizontal="center"/>
    </dxf>
    <dxf>
      <font>
        <u/>
      </font>
      <numFmt numFmtId="19" formatCode="dd/mm/yyyy"/>
      <alignment horizontal="center"/>
    </dxf>
    <dxf>
      <font>
        <u/>
      </font>
      <numFmt numFmtId="0" formatCode="General"/>
      <alignment horizontal="center"/>
    </dxf>
    <dxf>
      <font>
        <u/>
      </font>
    </dxf>
    <dxf>
      <font>
        <u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CE3896-CC98-4F20-BB58-CA54F6B0C4D3}" name="Tabela_NFE" displayName="Tabela_NFE" ref="A1:K100" totalsRowShown="0" headerRowDxfId="13" dataDxfId="12">
  <autoFilter ref="A1:K100" xr:uid="{5ECE3896-CC98-4F20-BB58-CA54F6B0C4D3}"/>
  <tableColumns count="11">
    <tableColumn id="1" xr3:uid="{997F7255-4427-43CA-BC51-9785D3C75814}" name="ID_Pedido" dataDxfId="11">
      <calculatedColumnFormula>ROW()-1</calculatedColumnFormula>
    </tableColumn>
    <tableColumn id="2" xr3:uid="{265B68E3-BAE7-4F9F-B491-CD8E3B384CE6}" name="Data_Emissão" dataDxfId="10">
      <calculatedColumnFormula>TODAY() -RANDBETWEEN(0,30)</calculatedColumnFormula>
    </tableColumn>
    <tableColumn id="3" xr3:uid="{7D0B282D-F324-47AC-B8F7-3B413816FF63}" name="NF" dataDxfId="9">
      <calculatedColumnFormula>22300+A2</calculatedColumnFormula>
    </tableColumn>
    <tableColumn id="4" xr3:uid="{C5C5D463-6DD8-480D-B210-999C80DC85A1}" name="Cliente" dataDxfId="8">
      <calculatedColumnFormula>CHOOSE(RANDBETWEEN(1, 7), "Logística Vale do Gravataí LTDA", "Distribuidora de Bebidas Sul", "Indústria de Móveis Canoas S.A.", "Supermercados Gaúchos", "Guilherme Ferreira", "Lucas Silva", "Antônio Moura")</calculatedColumnFormula>
    </tableColumn>
    <tableColumn id="5" xr3:uid="{BE8C3ECA-F9EB-4D93-B664-5F2A34AA7709}" name="Cidade" dataDxfId="7">
      <calculatedColumnFormula>CHOOSE(RANDBETWEEN(1, 4), "Porto Alegre", "Canoas", "Cachoeirinha", "Viamão")</calculatedColumnFormula>
    </tableColumn>
    <tableColumn id="12" xr3:uid="{391FDD5B-D9D3-49D7-A131-31B887C2C2E1}" name="Custo_Operacional" dataDxfId="6">
      <calculatedColumnFormula>IF(E2="Cachoeirinha", 80, IF(E2="Porto Alegre", 150, 100)) + (G2 * 0.05)</calculatedColumnFormula>
    </tableColumn>
    <tableColumn id="6" xr3:uid="{1FEC556E-4D1E-412C-A12D-A4E378007179}" name="Valor_NF" dataDxfId="5">
      <calculatedColumnFormula>RANDBETWEEN(500,50000)</calculatedColumnFormula>
    </tableColumn>
    <tableColumn id="7" xr3:uid="{7376A5CA-E0DE-47CA-B877-55E1A38AEC0A}" name="Peso_kg" dataDxfId="4">
      <calculatedColumnFormula>RANDBETWEEN(10,500)</calculatedColumnFormula>
    </tableColumn>
    <tableColumn id="8" xr3:uid="{A430B052-8E0A-4A03-BF57-4EEA4F1B3322}" name="Transportadora" dataDxfId="3">
      <calculatedColumnFormula>VLOOKUP(E2, $O$2:$Q$100, 2, 0)</calculatedColumnFormula>
    </tableColumn>
    <tableColumn id="9" xr3:uid="{E3F6567B-BE2A-43E5-891D-5B007480E663}" name="Status" dataDxfId="2">
      <calculatedColumnFormula>CHOOSE(RANDBETWEEN(1, 3), "Entregue", "Em trânsito", "Pendente")</calculatedColumnFormula>
    </tableColumn>
    <tableColumn id="10" xr3:uid="{9BA128EB-12D8-4B61-84AB-535C3459070D}" name="Preço por KG" dataDxfId="1">
      <calculatedColumnFormula>VLOOKUP(E2, $O$2:$Q$100, 3, 0) * H2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B5C5A7D-96A0-4CA9-BA1C-41500F519EEB}" name="Tabela5" displayName="Tabela5" ref="O1:Q5" totalsRowShown="0">
  <autoFilter ref="O1:Q5" xr:uid="{BB5C5A7D-96A0-4CA9-BA1C-41500F519EEB}"/>
  <tableColumns count="3">
    <tableColumn id="1" xr3:uid="{0E0C69E2-87C5-4DCF-B838-5B4883AD57B2}" name="Cidade"/>
    <tableColumn id="2" xr3:uid="{D9BD5775-9B03-4F6E-AE63-E8A806CD936F}" name="Transportadora"/>
    <tableColumn id="3" xr3:uid="{612772DE-E995-4E72-85B8-FAD998EF403F}" name="Frete por KG" dataDxfId="0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"/>
  <sheetViews>
    <sheetView tabSelected="1" workbookViewId="0">
      <selection activeCell="N15" sqref="N15"/>
    </sheetView>
  </sheetViews>
  <sheetFormatPr defaultColWidth="15.7109375" defaultRowHeight="15"/>
  <cols>
    <col min="1" max="3" width="15.7109375" style="2"/>
    <col min="4" max="4" width="35.5703125" style="3" customWidth="1"/>
    <col min="5" max="5" width="15.7109375" style="2"/>
    <col min="6" max="6" width="20.7109375" style="4" customWidth="1"/>
    <col min="7" max="7" width="15.7109375" style="5"/>
    <col min="8" max="10" width="15.7109375" style="2"/>
    <col min="11" max="11" width="15.7109375" style="4"/>
    <col min="14" max="14" width="16.140625" customWidth="1"/>
    <col min="15" max="15" width="31.140625" customWidth="1"/>
    <col min="16" max="16" width="29.5703125" customWidth="1"/>
    <col min="17" max="17" width="21.28515625" style="1" customWidth="1"/>
    <col min="18" max="18" width="31" style="5" customWidth="1"/>
    <col min="19" max="19" width="15.7109375" style="5"/>
  </cols>
  <sheetData>
    <row r="1" spans="1:22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4" t="s">
        <v>5</v>
      </c>
      <c r="G1" s="4" t="s">
        <v>6</v>
      </c>
      <c r="H1" s="2" t="s">
        <v>7</v>
      </c>
      <c r="I1" s="2" t="s">
        <v>8</v>
      </c>
      <c r="J1" s="2" t="s">
        <v>9</v>
      </c>
      <c r="K1" s="4" t="s">
        <v>10</v>
      </c>
      <c r="O1" t="s">
        <v>4</v>
      </c>
      <c r="P1" t="s">
        <v>8</v>
      </c>
      <c r="Q1" s="1" t="s">
        <v>11</v>
      </c>
      <c r="R1"/>
      <c r="S1"/>
      <c r="T1" s="8" t="s">
        <v>12</v>
      </c>
      <c r="U1" s="10" t="s">
        <v>13</v>
      </c>
      <c r="V1" s="12" t="s">
        <v>14</v>
      </c>
    </row>
    <row r="2" spans="1:22">
      <c r="A2" s="2">
        <f t="shared" ref="A2:A33" si="0">ROW()-1</f>
        <v>1</v>
      </c>
      <c r="B2" s="6">
        <f t="shared" ref="B2:B33" ca="1" si="1">TODAY() -RANDBETWEEN(0,30)</f>
        <v>46066</v>
      </c>
      <c r="C2" s="2">
        <f t="shared" ref="C2:C33" si="2">22300+A2</f>
        <v>22301</v>
      </c>
      <c r="D2" s="3" t="str">
        <f t="shared" ref="D2:D33" ca="1" si="3">CHOOSE(RANDBETWEEN(1, 7), "Logística Vale do Gravataí LTDA", "Distribuidora de Bebidas Sul", "Indústria de Móveis Canoas S.A.", "Supermercados Gaúchos", "Guilherme Ferreira", "Lucas Silva", "Antônio Moura")</f>
        <v>Guilherme Ferreira</v>
      </c>
      <c r="E2" s="2" t="str">
        <f t="shared" ref="E2:E33" ca="1" si="4">CHOOSE(RANDBETWEEN(1, 4), "Porto Alegre", "Canoas", "Cachoeirinha", "Viamão")</f>
        <v>Cachoeirinha</v>
      </c>
      <c r="F2" s="4">
        <f ca="1">IF(E2="Cachoeirinha", 80, IF(E2="Porto Alegre", 150, 100)) + (G2 * 0.05)</f>
        <v>1642.4</v>
      </c>
      <c r="G2" s="4">
        <f t="shared" ref="G2:G33" ca="1" si="5">RANDBETWEEN(500,50000)</f>
        <v>31248</v>
      </c>
      <c r="H2" s="2">
        <f ca="1">RANDBETWEEN(10,500)</f>
        <v>343</v>
      </c>
      <c r="I2" s="13" t="str">
        <f ca="1">VLOOKUP(E2, $O$2:$Q$100, 2, 0)</f>
        <v>Expresso-RS</v>
      </c>
      <c r="J2" s="2" t="str">
        <f ca="1">CHOOSE(RANDBETWEEN(1, 3), "Entregue", "Em trânsito", "Pendente")</f>
        <v>Entregue</v>
      </c>
      <c r="K2" s="14">
        <f ca="1">VLOOKUP(E2, $O$2:$Q$100, 3, 0) * H2</f>
        <v>720.30000000000007</v>
      </c>
      <c r="O2" t="s">
        <v>15</v>
      </c>
      <c r="P2" t="s">
        <v>16</v>
      </c>
      <c r="Q2" s="1">
        <v>1.5</v>
      </c>
      <c r="R2"/>
      <c r="S2"/>
      <c r="T2" s="9">
        <f ca="1">SUMIF(J:J, "Entregue", K:K)</f>
        <v>14704.349999999999</v>
      </c>
      <c r="U2" s="11">
        <f ca="1">SUMIF(J:J,"Entregue", G:G)</f>
        <v>914222</v>
      </c>
      <c r="V2" s="7">
        <f ca="1">COUNTIF(J:J, "Entregue")</f>
        <v>35</v>
      </c>
    </row>
    <row r="3" spans="1:22">
      <c r="A3" s="2">
        <f t="shared" si="0"/>
        <v>2</v>
      </c>
      <c r="B3" s="6">
        <f t="shared" ca="1" si="1"/>
        <v>46069</v>
      </c>
      <c r="C3" s="2">
        <f t="shared" si="2"/>
        <v>22302</v>
      </c>
      <c r="D3" s="3" t="str">
        <f t="shared" ca="1" si="3"/>
        <v>Supermercados Gaúchos</v>
      </c>
      <c r="E3" s="2" t="str">
        <f t="shared" ca="1" si="4"/>
        <v>Porto Alegre</v>
      </c>
      <c r="F3" s="4">
        <f t="shared" ref="F3:F33" ca="1" si="6">IF(E3="Cachoeirinha", 80, IF(E3="Porto Alegre", 150, 100)) + (G3 * 0.05)</f>
        <v>213</v>
      </c>
      <c r="G3" s="4">
        <f t="shared" ca="1" si="5"/>
        <v>1260</v>
      </c>
      <c r="H3" s="2">
        <f t="shared" ref="H3:H33" ca="1" si="7">RANDBETWEEN(10,500)</f>
        <v>236</v>
      </c>
      <c r="I3" s="13" t="str">
        <f ca="1">VLOOKUP(E3, $O$2:$Q$100, 2, 0)</f>
        <v>LogSul</v>
      </c>
      <c r="J3" s="2" t="str">
        <f t="shared" ref="J2:J33" ca="1" si="8">CHOOSE(RANDBETWEEN(1, 3), "Entregue", "Em trânsito", "Pendente")</f>
        <v>Em trânsito</v>
      </c>
      <c r="K3" s="14">
        <f ca="1">VLOOKUP(E3, $O$2:$Q$100, 3, 0) * H3</f>
        <v>354</v>
      </c>
      <c r="O3" t="s">
        <v>17</v>
      </c>
      <c r="P3" t="s">
        <v>18</v>
      </c>
      <c r="Q3" s="1">
        <v>1.8</v>
      </c>
      <c r="R3"/>
      <c r="S3"/>
    </row>
    <row r="4" spans="1:22">
      <c r="A4" s="2">
        <f t="shared" si="0"/>
        <v>3</v>
      </c>
      <c r="B4" s="6">
        <f t="shared" ca="1" si="1"/>
        <v>46064</v>
      </c>
      <c r="C4" s="2">
        <f t="shared" si="2"/>
        <v>22303</v>
      </c>
      <c r="D4" s="3" t="str">
        <f t="shared" ca="1" si="3"/>
        <v>Guilherme Ferreira</v>
      </c>
      <c r="E4" s="2" t="str">
        <f t="shared" ca="1" si="4"/>
        <v>Porto Alegre</v>
      </c>
      <c r="F4" s="4">
        <f t="shared" ca="1" si="6"/>
        <v>416</v>
      </c>
      <c r="G4" s="4">
        <f t="shared" ca="1" si="5"/>
        <v>5320</v>
      </c>
      <c r="H4" s="2">
        <f t="shared" ca="1" si="7"/>
        <v>214</v>
      </c>
      <c r="I4" s="13" t="str">
        <f ca="1">VLOOKUP(E4, $O$2:$Q$100, 2, 0)</f>
        <v>LogSul</v>
      </c>
      <c r="J4" s="2" t="str">
        <f t="shared" ca="1" si="8"/>
        <v>Pendente</v>
      </c>
      <c r="K4" s="14">
        <f ca="1">VLOOKUP(E4, $O$2:$Q$100, 3, 0) * H4</f>
        <v>321</v>
      </c>
      <c r="O4" t="s">
        <v>19</v>
      </c>
      <c r="P4" t="s">
        <v>20</v>
      </c>
      <c r="Q4" s="1">
        <v>2.1</v>
      </c>
    </row>
    <row r="5" spans="1:22">
      <c r="A5" s="2">
        <f t="shared" si="0"/>
        <v>4</v>
      </c>
      <c r="B5" s="6">
        <f t="shared" ca="1" si="1"/>
        <v>46074</v>
      </c>
      <c r="C5" s="2">
        <f t="shared" si="2"/>
        <v>22304</v>
      </c>
      <c r="D5" s="3" t="str">
        <f t="shared" ca="1" si="3"/>
        <v>Supermercados Gaúchos</v>
      </c>
      <c r="E5" s="2" t="str">
        <f t="shared" ca="1" si="4"/>
        <v>Canoas</v>
      </c>
      <c r="F5" s="4">
        <f t="shared" ca="1" si="6"/>
        <v>1330.0500000000002</v>
      </c>
      <c r="G5" s="4">
        <f t="shared" ca="1" si="5"/>
        <v>24601</v>
      </c>
      <c r="H5" s="2">
        <f t="shared" ca="1" si="7"/>
        <v>210</v>
      </c>
      <c r="I5" s="13" t="str">
        <f ca="1">VLOOKUP(E5, $O$2:$Q$100, 2, 0)</f>
        <v>TransPampa</v>
      </c>
      <c r="J5" s="2" t="str">
        <f t="shared" ca="1" si="8"/>
        <v>Entregue</v>
      </c>
      <c r="K5" s="14">
        <f ca="1">VLOOKUP(E5, $O$2:$Q$100, 3, 0) * H5</f>
        <v>378</v>
      </c>
      <c r="O5" t="s">
        <v>21</v>
      </c>
      <c r="P5" t="s">
        <v>16</v>
      </c>
      <c r="Q5" s="1">
        <v>1.65</v>
      </c>
    </row>
    <row r="6" spans="1:22">
      <c r="A6" s="2">
        <f t="shared" si="0"/>
        <v>5</v>
      </c>
      <c r="B6" s="6">
        <f t="shared" ca="1" si="1"/>
        <v>46072</v>
      </c>
      <c r="C6" s="2">
        <f t="shared" si="2"/>
        <v>22305</v>
      </c>
      <c r="D6" s="3" t="str">
        <f t="shared" ca="1" si="3"/>
        <v>Supermercados Gaúchos</v>
      </c>
      <c r="E6" s="2" t="str">
        <f t="shared" ca="1" si="4"/>
        <v>Cachoeirinha</v>
      </c>
      <c r="F6" s="4">
        <f t="shared" ca="1" si="6"/>
        <v>946</v>
      </c>
      <c r="G6" s="4">
        <f t="shared" ca="1" si="5"/>
        <v>17320</v>
      </c>
      <c r="H6" s="2">
        <f t="shared" ca="1" si="7"/>
        <v>208</v>
      </c>
      <c r="I6" s="13" t="str">
        <f ca="1">VLOOKUP(E6, $O$2:$Q$100, 2, 0)</f>
        <v>Expresso-RS</v>
      </c>
      <c r="J6" s="2" t="str">
        <f t="shared" ca="1" si="8"/>
        <v>Pendente</v>
      </c>
      <c r="K6" s="14">
        <f ca="1">VLOOKUP(E6, $O$2:$Q$100, 3, 0) * H6</f>
        <v>436.8</v>
      </c>
    </row>
    <row r="7" spans="1:22">
      <c r="A7" s="2">
        <f t="shared" si="0"/>
        <v>6</v>
      </c>
      <c r="B7" s="6">
        <f t="shared" ca="1" si="1"/>
        <v>46065</v>
      </c>
      <c r="C7" s="2">
        <f t="shared" si="2"/>
        <v>22306</v>
      </c>
      <c r="D7" s="3" t="str">
        <f t="shared" ca="1" si="3"/>
        <v>Indústria de Móveis Canoas S.A.</v>
      </c>
      <c r="E7" s="2" t="str">
        <f t="shared" ca="1" si="4"/>
        <v>Viamão</v>
      </c>
      <c r="F7" s="4">
        <f t="shared" ca="1" si="6"/>
        <v>1409.75</v>
      </c>
      <c r="G7" s="4">
        <f t="shared" ca="1" si="5"/>
        <v>26195</v>
      </c>
      <c r="H7" s="2">
        <f t="shared" ca="1" si="7"/>
        <v>321</v>
      </c>
      <c r="I7" s="13" t="str">
        <f ca="1">VLOOKUP(E7, $O$2:$Q$100, 2, 0)</f>
        <v>LogSul</v>
      </c>
      <c r="J7" s="2" t="str">
        <f t="shared" ca="1" si="8"/>
        <v>Em trânsito</v>
      </c>
      <c r="K7" s="14">
        <f ca="1">VLOOKUP(E7, $O$2:$Q$100, 3, 0) * H7</f>
        <v>529.65</v>
      </c>
    </row>
    <row r="8" spans="1:22">
      <c r="A8" s="2">
        <f t="shared" si="0"/>
        <v>7</v>
      </c>
      <c r="B8" s="6">
        <f t="shared" ca="1" si="1"/>
        <v>46066</v>
      </c>
      <c r="C8" s="2">
        <f t="shared" si="2"/>
        <v>22307</v>
      </c>
      <c r="D8" s="3" t="str">
        <f t="shared" ca="1" si="3"/>
        <v>Antônio Moura</v>
      </c>
      <c r="E8" s="2" t="str">
        <f t="shared" ca="1" si="4"/>
        <v>Cachoeirinha</v>
      </c>
      <c r="F8" s="4">
        <f t="shared" ca="1" si="6"/>
        <v>699.25</v>
      </c>
      <c r="G8" s="4">
        <f t="shared" ca="1" si="5"/>
        <v>12385</v>
      </c>
      <c r="H8" s="2">
        <f t="shared" ca="1" si="7"/>
        <v>465</v>
      </c>
      <c r="I8" s="13" t="str">
        <f ca="1">VLOOKUP(E8, $O$2:$Q$100, 2, 0)</f>
        <v>Expresso-RS</v>
      </c>
      <c r="J8" s="2" t="str">
        <f t="shared" ca="1" si="8"/>
        <v>Pendente</v>
      </c>
      <c r="K8" s="14">
        <f ca="1">VLOOKUP(E8, $O$2:$Q$100, 3, 0) * H8</f>
        <v>976.5</v>
      </c>
      <c r="O8" s="1"/>
      <c r="P8" s="1"/>
    </row>
    <row r="9" spans="1:22">
      <c r="A9" s="2">
        <f t="shared" si="0"/>
        <v>8</v>
      </c>
      <c r="B9" s="6">
        <f t="shared" ca="1" si="1"/>
        <v>46072</v>
      </c>
      <c r="C9" s="2">
        <f t="shared" si="2"/>
        <v>22308</v>
      </c>
      <c r="D9" s="3" t="str">
        <f t="shared" ca="1" si="3"/>
        <v>Indústria de Móveis Canoas S.A.</v>
      </c>
      <c r="E9" s="2" t="str">
        <f t="shared" ca="1" si="4"/>
        <v>Viamão</v>
      </c>
      <c r="F9" s="4">
        <f t="shared" ca="1" si="6"/>
        <v>139.4</v>
      </c>
      <c r="G9" s="4">
        <f t="shared" ca="1" si="5"/>
        <v>788</v>
      </c>
      <c r="H9" s="2">
        <f t="shared" ca="1" si="7"/>
        <v>475</v>
      </c>
      <c r="I9" s="13" t="str">
        <f ca="1">VLOOKUP(E9, $O$2:$Q$100, 2, 0)</f>
        <v>LogSul</v>
      </c>
      <c r="J9" s="2" t="str">
        <f t="shared" ca="1" si="8"/>
        <v>Pendente</v>
      </c>
      <c r="K9" s="14">
        <f ca="1">VLOOKUP(E9, $O$2:$Q$100, 3, 0) * H9</f>
        <v>783.75</v>
      </c>
      <c r="O9" s="1"/>
      <c r="P9" s="1"/>
    </row>
    <row r="10" spans="1:22">
      <c r="A10" s="2">
        <f t="shared" si="0"/>
        <v>9</v>
      </c>
      <c r="B10" s="6">
        <f t="shared" ca="1" si="1"/>
        <v>46059</v>
      </c>
      <c r="C10" s="2">
        <f t="shared" si="2"/>
        <v>22309</v>
      </c>
      <c r="D10" s="3" t="str">
        <f t="shared" ca="1" si="3"/>
        <v>Indústria de Móveis Canoas S.A.</v>
      </c>
      <c r="E10" s="2" t="str">
        <f t="shared" ca="1" si="4"/>
        <v>Viamão</v>
      </c>
      <c r="F10" s="4">
        <f t="shared" ca="1" si="6"/>
        <v>1423.95</v>
      </c>
      <c r="G10" s="4">
        <f t="shared" ca="1" si="5"/>
        <v>26479</v>
      </c>
      <c r="H10" s="2">
        <f t="shared" ca="1" si="7"/>
        <v>444</v>
      </c>
      <c r="I10" s="13" t="str">
        <f ca="1">VLOOKUP(E10, $O$2:$Q$100, 2, 0)</f>
        <v>LogSul</v>
      </c>
      <c r="J10" s="2" t="str">
        <f t="shared" ca="1" si="8"/>
        <v>Em trânsito</v>
      </c>
      <c r="K10" s="14">
        <f ca="1">VLOOKUP(E10, $O$2:$Q$100, 3, 0) * H10</f>
        <v>732.59999999999991</v>
      </c>
      <c r="N10" s="5"/>
      <c r="O10" s="1"/>
      <c r="P10" s="1"/>
    </row>
    <row r="11" spans="1:22">
      <c r="A11" s="2">
        <f t="shared" si="0"/>
        <v>10</v>
      </c>
      <c r="B11" s="6">
        <f t="shared" ca="1" si="1"/>
        <v>46072</v>
      </c>
      <c r="C11" s="2">
        <f t="shared" si="2"/>
        <v>22310</v>
      </c>
      <c r="D11" s="3" t="str">
        <f t="shared" ca="1" si="3"/>
        <v>Logística Vale do Gravataí LTDA</v>
      </c>
      <c r="E11" s="2" t="str">
        <f t="shared" ca="1" si="4"/>
        <v>Viamão</v>
      </c>
      <c r="F11" s="4">
        <f t="shared" ca="1" si="6"/>
        <v>2140.5500000000002</v>
      </c>
      <c r="G11" s="4">
        <f t="shared" ca="1" si="5"/>
        <v>40811</v>
      </c>
      <c r="H11" s="2">
        <f t="shared" ca="1" si="7"/>
        <v>28</v>
      </c>
      <c r="I11" s="13" t="str">
        <f ca="1">VLOOKUP(E11, $O$2:$Q$100, 2, 0)</f>
        <v>LogSul</v>
      </c>
      <c r="J11" s="2" t="str">
        <f t="shared" ca="1" si="8"/>
        <v>Entregue</v>
      </c>
      <c r="K11" s="14">
        <f ca="1">VLOOKUP(E11, $O$2:$Q$100, 3, 0) * H11</f>
        <v>46.199999999999996</v>
      </c>
      <c r="O11" s="1"/>
      <c r="P11" s="1"/>
    </row>
    <row r="12" spans="1:22">
      <c r="A12" s="2">
        <f t="shared" si="0"/>
        <v>11</v>
      </c>
      <c r="B12" s="6">
        <f t="shared" ca="1" si="1"/>
        <v>46066</v>
      </c>
      <c r="C12" s="2">
        <f t="shared" si="2"/>
        <v>22311</v>
      </c>
      <c r="D12" s="3" t="str">
        <f t="shared" ca="1" si="3"/>
        <v>Indústria de Móveis Canoas S.A.</v>
      </c>
      <c r="E12" s="2" t="str">
        <f t="shared" ca="1" si="4"/>
        <v>Canoas</v>
      </c>
      <c r="F12" s="4">
        <f t="shared" ca="1" si="6"/>
        <v>582</v>
      </c>
      <c r="G12" s="4">
        <f t="shared" ca="1" si="5"/>
        <v>9640</v>
      </c>
      <c r="H12" s="2">
        <f t="shared" ca="1" si="7"/>
        <v>217</v>
      </c>
      <c r="I12" s="13" t="str">
        <f ca="1">VLOOKUP(E12, $O$2:$Q$100, 2, 0)</f>
        <v>TransPampa</v>
      </c>
      <c r="J12" s="2" t="str">
        <f t="shared" ca="1" si="8"/>
        <v>Entregue</v>
      </c>
      <c r="K12" s="14">
        <f ca="1">VLOOKUP(E12, $O$2:$Q$100, 3, 0) * H12</f>
        <v>390.6</v>
      </c>
    </row>
    <row r="13" spans="1:22">
      <c r="A13" s="2">
        <f t="shared" si="0"/>
        <v>12</v>
      </c>
      <c r="B13" s="6">
        <f t="shared" ca="1" si="1"/>
        <v>46055</v>
      </c>
      <c r="C13" s="2">
        <f t="shared" si="2"/>
        <v>22312</v>
      </c>
      <c r="D13" s="3" t="str">
        <f t="shared" ca="1" si="3"/>
        <v>Supermercados Gaúchos</v>
      </c>
      <c r="E13" s="2" t="str">
        <f t="shared" ca="1" si="4"/>
        <v>Cachoeirinha</v>
      </c>
      <c r="F13" s="4">
        <f t="shared" ca="1" si="6"/>
        <v>991.2</v>
      </c>
      <c r="G13" s="4">
        <f t="shared" ca="1" si="5"/>
        <v>18224</v>
      </c>
      <c r="H13" s="2">
        <f t="shared" ca="1" si="7"/>
        <v>415</v>
      </c>
      <c r="I13" s="13" t="str">
        <f ca="1">VLOOKUP(E13, $O$2:$Q$100, 2, 0)</f>
        <v>Expresso-RS</v>
      </c>
      <c r="J13" s="2" t="str">
        <f t="shared" ca="1" si="8"/>
        <v>Entregue</v>
      </c>
      <c r="K13" s="14">
        <f ca="1">VLOOKUP(E13, $O$2:$Q$100, 3, 0) * H13</f>
        <v>871.5</v>
      </c>
    </row>
    <row r="14" spans="1:22">
      <c r="A14" s="2">
        <f t="shared" si="0"/>
        <v>13</v>
      </c>
      <c r="B14" s="6">
        <f t="shared" ca="1" si="1"/>
        <v>46081</v>
      </c>
      <c r="C14" s="2">
        <f t="shared" si="2"/>
        <v>22313</v>
      </c>
      <c r="D14" s="3" t="str">
        <f t="shared" ca="1" si="3"/>
        <v>Supermercados Gaúchos</v>
      </c>
      <c r="E14" s="2" t="str">
        <f t="shared" ca="1" si="4"/>
        <v>Cachoeirinha</v>
      </c>
      <c r="F14" s="4">
        <f t="shared" ca="1" si="6"/>
        <v>578.79999999999995</v>
      </c>
      <c r="G14" s="4">
        <f t="shared" ca="1" si="5"/>
        <v>9976</v>
      </c>
      <c r="H14" s="2">
        <f t="shared" ca="1" si="7"/>
        <v>60</v>
      </c>
      <c r="I14" s="13" t="str">
        <f ca="1">VLOOKUP(E14, $O$2:$Q$100, 2, 0)</f>
        <v>Expresso-RS</v>
      </c>
      <c r="J14" s="2" t="str">
        <f t="shared" ca="1" si="8"/>
        <v>Pendente</v>
      </c>
      <c r="K14" s="14">
        <f ca="1">VLOOKUP(E14, $O$2:$Q$100, 3, 0) * H14</f>
        <v>126</v>
      </c>
    </row>
    <row r="15" spans="1:22">
      <c r="A15" s="2">
        <f t="shared" si="0"/>
        <v>14</v>
      </c>
      <c r="B15" s="6">
        <f t="shared" ca="1" si="1"/>
        <v>46081</v>
      </c>
      <c r="C15" s="2">
        <f t="shared" si="2"/>
        <v>22314</v>
      </c>
      <c r="D15" s="3" t="str">
        <f t="shared" ca="1" si="3"/>
        <v>Lucas Silva</v>
      </c>
      <c r="E15" s="2" t="str">
        <f t="shared" ca="1" si="4"/>
        <v>Porto Alegre</v>
      </c>
      <c r="F15" s="4">
        <f t="shared" ca="1" si="6"/>
        <v>1201.6500000000001</v>
      </c>
      <c r="G15" s="4">
        <f t="shared" ca="1" si="5"/>
        <v>21033</v>
      </c>
      <c r="H15" s="2">
        <f t="shared" ca="1" si="7"/>
        <v>171</v>
      </c>
      <c r="I15" s="13" t="str">
        <f ca="1">VLOOKUP(E15, $O$2:$Q$100, 2, 0)</f>
        <v>LogSul</v>
      </c>
      <c r="J15" s="2" t="str">
        <f t="shared" ca="1" si="8"/>
        <v>Pendente</v>
      </c>
      <c r="K15" s="14">
        <f ca="1">VLOOKUP(E15, $O$2:$Q$100, 3, 0) * H15</f>
        <v>256.5</v>
      </c>
      <c r="N15" s="5"/>
    </row>
    <row r="16" spans="1:22">
      <c r="A16" s="2">
        <f t="shared" si="0"/>
        <v>15</v>
      </c>
      <c r="B16" s="6">
        <f t="shared" ca="1" si="1"/>
        <v>46069</v>
      </c>
      <c r="C16" s="2">
        <f t="shared" si="2"/>
        <v>22315</v>
      </c>
      <c r="D16" s="3" t="str">
        <f t="shared" ca="1" si="3"/>
        <v>Supermercados Gaúchos</v>
      </c>
      <c r="E16" s="2" t="str">
        <f t="shared" ca="1" si="4"/>
        <v>Porto Alegre</v>
      </c>
      <c r="F16" s="4">
        <f t="shared" ca="1" si="6"/>
        <v>1513.5500000000002</v>
      </c>
      <c r="G16" s="4">
        <f t="shared" ca="1" si="5"/>
        <v>27271</v>
      </c>
      <c r="H16" s="2">
        <f t="shared" ca="1" si="7"/>
        <v>408</v>
      </c>
      <c r="I16" s="13" t="str">
        <f ca="1">VLOOKUP(E16, $O$2:$Q$100, 2, 0)</f>
        <v>LogSul</v>
      </c>
      <c r="J16" s="2" t="str">
        <f t="shared" ca="1" si="8"/>
        <v>Em trânsito</v>
      </c>
      <c r="K16" s="14">
        <f ca="1">VLOOKUP(E16, $O$2:$Q$100, 3, 0) * H16</f>
        <v>612</v>
      </c>
      <c r="N16" s="5"/>
    </row>
    <row r="17" spans="1:11">
      <c r="A17" s="2">
        <f t="shared" si="0"/>
        <v>16</v>
      </c>
      <c r="B17" s="6">
        <f t="shared" ca="1" si="1"/>
        <v>46082</v>
      </c>
      <c r="C17" s="2">
        <f t="shared" si="2"/>
        <v>22316</v>
      </c>
      <c r="D17" s="3" t="str">
        <f t="shared" ca="1" si="3"/>
        <v>Guilherme Ferreira</v>
      </c>
      <c r="E17" s="2" t="str">
        <f t="shared" ca="1" si="4"/>
        <v>Viamão</v>
      </c>
      <c r="F17" s="4">
        <f t="shared" ca="1" si="6"/>
        <v>418.90000000000003</v>
      </c>
      <c r="G17" s="4">
        <f t="shared" ca="1" si="5"/>
        <v>6378</v>
      </c>
      <c r="H17" s="2">
        <f t="shared" ca="1" si="7"/>
        <v>148</v>
      </c>
      <c r="I17" s="13" t="str">
        <f ca="1">VLOOKUP(E17, $O$2:$Q$100, 2, 0)</f>
        <v>LogSul</v>
      </c>
      <c r="J17" s="2" t="str">
        <f t="shared" ca="1" si="8"/>
        <v>Pendente</v>
      </c>
      <c r="K17" s="14">
        <f ca="1">VLOOKUP(E17, $O$2:$Q$100, 3, 0) * H17</f>
        <v>244.2</v>
      </c>
    </row>
    <row r="18" spans="1:11">
      <c r="A18" s="2">
        <f t="shared" si="0"/>
        <v>17</v>
      </c>
      <c r="B18" s="6">
        <f t="shared" ca="1" si="1"/>
        <v>46076</v>
      </c>
      <c r="C18" s="2">
        <f t="shared" si="2"/>
        <v>22317</v>
      </c>
      <c r="D18" s="3" t="str">
        <f t="shared" ca="1" si="3"/>
        <v>Antônio Moura</v>
      </c>
      <c r="E18" s="2" t="str">
        <f t="shared" ca="1" si="4"/>
        <v>Cachoeirinha</v>
      </c>
      <c r="F18" s="4">
        <f t="shared" ca="1" si="6"/>
        <v>2422.5</v>
      </c>
      <c r="G18" s="4">
        <f t="shared" ca="1" si="5"/>
        <v>46850</v>
      </c>
      <c r="H18" s="2">
        <f t="shared" ca="1" si="7"/>
        <v>374</v>
      </c>
      <c r="I18" s="13" t="str">
        <f ca="1">VLOOKUP(E18, $O$2:$Q$100, 2, 0)</f>
        <v>Expresso-RS</v>
      </c>
      <c r="J18" s="2" t="str">
        <f t="shared" ca="1" si="8"/>
        <v>Entregue</v>
      </c>
      <c r="K18" s="14">
        <f ca="1">VLOOKUP(E18, $O$2:$Q$100, 3, 0) * H18</f>
        <v>785.4</v>
      </c>
    </row>
    <row r="19" spans="1:11">
      <c r="A19" s="2">
        <f t="shared" si="0"/>
        <v>18</v>
      </c>
      <c r="B19" s="6">
        <f t="shared" ca="1" si="1"/>
        <v>46075</v>
      </c>
      <c r="C19" s="2">
        <f t="shared" si="2"/>
        <v>22318</v>
      </c>
      <c r="D19" s="3" t="str">
        <f t="shared" ca="1" si="3"/>
        <v>Lucas Silva</v>
      </c>
      <c r="E19" s="2" t="str">
        <f t="shared" ca="1" si="4"/>
        <v>Canoas</v>
      </c>
      <c r="F19" s="4">
        <f t="shared" ca="1" si="6"/>
        <v>2323.0500000000002</v>
      </c>
      <c r="G19" s="4">
        <f t="shared" ca="1" si="5"/>
        <v>44461</v>
      </c>
      <c r="H19" s="2">
        <f t="shared" ca="1" si="7"/>
        <v>438</v>
      </c>
      <c r="I19" s="13" t="str">
        <f ca="1">VLOOKUP(E19, $O$2:$Q$100, 2, 0)</f>
        <v>TransPampa</v>
      </c>
      <c r="J19" s="2" t="str">
        <f t="shared" ca="1" si="8"/>
        <v>Em trânsito</v>
      </c>
      <c r="K19" s="14">
        <f ca="1">VLOOKUP(E19, $O$2:$Q$100, 3, 0) * H19</f>
        <v>788.4</v>
      </c>
    </row>
    <row r="20" spans="1:11">
      <c r="A20" s="2">
        <f t="shared" si="0"/>
        <v>19</v>
      </c>
      <c r="B20" s="6">
        <f t="shared" ca="1" si="1"/>
        <v>46068</v>
      </c>
      <c r="C20" s="2">
        <f t="shared" si="2"/>
        <v>22319</v>
      </c>
      <c r="D20" s="3" t="str">
        <f t="shared" ca="1" si="3"/>
        <v>Antônio Moura</v>
      </c>
      <c r="E20" s="2" t="str">
        <f t="shared" ca="1" si="4"/>
        <v>Canoas</v>
      </c>
      <c r="F20" s="4">
        <f t="shared" ca="1" si="6"/>
        <v>1980.8500000000001</v>
      </c>
      <c r="G20" s="4">
        <f t="shared" ca="1" si="5"/>
        <v>37617</v>
      </c>
      <c r="H20" s="2">
        <f t="shared" ca="1" si="7"/>
        <v>309</v>
      </c>
      <c r="I20" s="13" t="str">
        <f ca="1">VLOOKUP(E20, $O$2:$Q$100, 2, 0)</f>
        <v>TransPampa</v>
      </c>
      <c r="J20" s="2" t="str">
        <f t="shared" ca="1" si="8"/>
        <v>Entregue</v>
      </c>
      <c r="K20" s="14">
        <f ca="1">VLOOKUP(E20, $O$2:$Q$100, 3, 0) * H20</f>
        <v>556.20000000000005</v>
      </c>
    </row>
    <row r="21" spans="1:11">
      <c r="A21" s="2">
        <f t="shared" si="0"/>
        <v>20</v>
      </c>
      <c r="B21" s="6">
        <f t="shared" ca="1" si="1"/>
        <v>46079</v>
      </c>
      <c r="C21" s="2">
        <f t="shared" si="2"/>
        <v>22320</v>
      </c>
      <c r="D21" s="3" t="str">
        <f t="shared" ca="1" si="3"/>
        <v>Antônio Moura</v>
      </c>
      <c r="E21" s="2" t="str">
        <f t="shared" ca="1" si="4"/>
        <v>Viamão</v>
      </c>
      <c r="F21" s="4">
        <f t="shared" ca="1" si="6"/>
        <v>2414.5</v>
      </c>
      <c r="G21" s="4">
        <f t="shared" ca="1" si="5"/>
        <v>46290</v>
      </c>
      <c r="H21" s="2">
        <f t="shared" ca="1" si="7"/>
        <v>141</v>
      </c>
      <c r="I21" s="13" t="str">
        <f ca="1">VLOOKUP(E21, $O$2:$Q$100, 2, 0)</f>
        <v>LogSul</v>
      </c>
      <c r="J21" s="2" t="str">
        <f t="shared" ca="1" si="8"/>
        <v>Pendente</v>
      </c>
      <c r="K21" s="14">
        <f ca="1">VLOOKUP(E21, $O$2:$Q$100, 3, 0) * H21</f>
        <v>232.64999999999998</v>
      </c>
    </row>
    <row r="22" spans="1:11">
      <c r="A22" s="2">
        <f t="shared" si="0"/>
        <v>21</v>
      </c>
      <c r="B22" s="6">
        <f t="shared" ca="1" si="1"/>
        <v>46077</v>
      </c>
      <c r="C22" s="2">
        <f t="shared" si="2"/>
        <v>22321</v>
      </c>
      <c r="D22" s="3" t="str">
        <f t="shared" ca="1" si="3"/>
        <v>Logística Vale do Gravataí LTDA</v>
      </c>
      <c r="E22" s="2" t="str">
        <f t="shared" ca="1" si="4"/>
        <v>Cachoeirinha</v>
      </c>
      <c r="F22" s="4">
        <f t="shared" ca="1" si="6"/>
        <v>1345.0500000000002</v>
      </c>
      <c r="G22" s="4">
        <f t="shared" ca="1" si="5"/>
        <v>25301</v>
      </c>
      <c r="H22" s="2">
        <f t="shared" ca="1" si="7"/>
        <v>47</v>
      </c>
      <c r="I22" s="13" t="str">
        <f ca="1">VLOOKUP(E22, $O$2:$Q$100, 2, 0)</f>
        <v>Expresso-RS</v>
      </c>
      <c r="J22" s="2" t="str">
        <f t="shared" ca="1" si="8"/>
        <v>Pendente</v>
      </c>
      <c r="K22" s="14">
        <f ca="1">VLOOKUP(E22, $O$2:$Q$100, 3, 0) * H22</f>
        <v>98.7</v>
      </c>
    </row>
    <row r="23" spans="1:11">
      <c r="A23" s="2">
        <f t="shared" si="0"/>
        <v>22</v>
      </c>
      <c r="B23" s="6">
        <f t="shared" ca="1" si="1"/>
        <v>46074</v>
      </c>
      <c r="C23" s="2">
        <f t="shared" si="2"/>
        <v>22322</v>
      </c>
      <c r="D23" s="3" t="str">
        <f t="shared" ca="1" si="3"/>
        <v>Indústria de Móveis Canoas S.A.</v>
      </c>
      <c r="E23" s="2" t="str">
        <f t="shared" ca="1" si="4"/>
        <v>Canoas</v>
      </c>
      <c r="F23" s="4">
        <f t="shared" ca="1" si="6"/>
        <v>330.05</v>
      </c>
      <c r="G23" s="4">
        <f t="shared" ca="1" si="5"/>
        <v>4601</v>
      </c>
      <c r="H23" s="2">
        <f t="shared" ca="1" si="7"/>
        <v>285</v>
      </c>
      <c r="I23" s="13" t="str">
        <f ca="1">VLOOKUP(E23, $O$2:$Q$100, 2, 0)</f>
        <v>TransPampa</v>
      </c>
      <c r="J23" s="2" t="str">
        <f t="shared" ca="1" si="8"/>
        <v>Em trânsito</v>
      </c>
      <c r="K23" s="14">
        <f ca="1">VLOOKUP(E23, $O$2:$Q$100, 3, 0) * H23</f>
        <v>513</v>
      </c>
    </row>
    <row r="24" spans="1:11">
      <c r="A24" s="2">
        <f t="shared" si="0"/>
        <v>23</v>
      </c>
      <c r="B24" s="6">
        <f t="shared" ca="1" si="1"/>
        <v>46054</v>
      </c>
      <c r="C24" s="2">
        <f t="shared" si="2"/>
        <v>22323</v>
      </c>
      <c r="D24" s="3" t="str">
        <f t="shared" ca="1" si="3"/>
        <v>Guilherme Ferreira</v>
      </c>
      <c r="E24" s="2" t="str">
        <f t="shared" ca="1" si="4"/>
        <v>Canoas</v>
      </c>
      <c r="F24" s="4">
        <f t="shared" ca="1" si="6"/>
        <v>416.90000000000003</v>
      </c>
      <c r="G24" s="4">
        <f t="shared" ca="1" si="5"/>
        <v>6338</v>
      </c>
      <c r="H24" s="2">
        <f t="shared" ca="1" si="7"/>
        <v>326</v>
      </c>
      <c r="I24" s="13" t="str">
        <f ca="1">VLOOKUP(E24, $O$2:$Q$100, 2, 0)</f>
        <v>TransPampa</v>
      </c>
      <c r="J24" s="2" t="str">
        <f t="shared" ca="1" si="8"/>
        <v>Em trânsito</v>
      </c>
      <c r="K24" s="14">
        <f ca="1">VLOOKUP(E24, $O$2:$Q$100, 3, 0) * H24</f>
        <v>586.80000000000007</v>
      </c>
    </row>
    <row r="25" spans="1:11">
      <c r="A25" s="2">
        <f t="shared" si="0"/>
        <v>24</v>
      </c>
      <c r="B25" s="6">
        <f t="shared" ca="1" si="1"/>
        <v>46073</v>
      </c>
      <c r="C25" s="2">
        <f t="shared" si="2"/>
        <v>22324</v>
      </c>
      <c r="D25" s="3" t="str">
        <f t="shared" ca="1" si="3"/>
        <v>Guilherme Ferreira</v>
      </c>
      <c r="E25" s="2" t="str">
        <f t="shared" ca="1" si="4"/>
        <v>Cachoeirinha</v>
      </c>
      <c r="F25" s="4">
        <f t="shared" ca="1" si="6"/>
        <v>2466</v>
      </c>
      <c r="G25" s="4">
        <f t="shared" ca="1" si="5"/>
        <v>47720</v>
      </c>
      <c r="H25" s="2">
        <f t="shared" ca="1" si="7"/>
        <v>271</v>
      </c>
      <c r="I25" s="13" t="str">
        <f ca="1">VLOOKUP(E25, $O$2:$Q$100, 2, 0)</f>
        <v>Expresso-RS</v>
      </c>
      <c r="J25" s="2" t="str">
        <f t="shared" ca="1" si="8"/>
        <v>Em trânsito</v>
      </c>
      <c r="K25" s="14">
        <f ca="1">VLOOKUP(E25, $O$2:$Q$100, 3, 0) * H25</f>
        <v>569.1</v>
      </c>
    </row>
    <row r="26" spans="1:11">
      <c r="A26" s="2">
        <f t="shared" si="0"/>
        <v>25</v>
      </c>
      <c r="B26" s="6">
        <f t="shared" ca="1" si="1"/>
        <v>46056</v>
      </c>
      <c r="C26" s="2">
        <f t="shared" si="2"/>
        <v>22325</v>
      </c>
      <c r="D26" s="3" t="str">
        <f t="shared" ca="1" si="3"/>
        <v>Guilherme Ferreira</v>
      </c>
      <c r="E26" s="2" t="str">
        <f t="shared" ca="1" si="4"/>
        <v>Cachoeirinha</v>
      </c>
      <c r="F26" s="4">
        <f t="shared" ca="1" si="6"/>
        <v>1924.9</v>
      </c>
      <c r="G26" s="4">
        <f t="shared" ca="1" si="5"/>
        <v>36898</v>
      </c>
      <c r="H26" s="2">
        <f t="shared" ca="1" si="7"/>
        <v>272</v>
      </c>
      <c r="I26" s="13" t="str">
        <f ca="1">VLOOKUP(E26, $O$2:$Q$100, 2, 0)</f>
        <v>Expresso-RS</v>
      </c>
      <c r="J26" s="2" t="str">
        <f t="shared" ca="1" si="8"/>
        <v>Pendente</v>
      </c>
      <c r="K26" s="14">
        <f ca="1">VLOOKUP(E26, $O$2:$Q$100, 3, 0) * H26</f>
        <v>571.20000000000005</v>
      </c>
    </row>
    <row r="27" spans="1:11">
      <c r="A27" s="2">
        <f t="shared" si="0"/>
        <v>26</v>
      </c>
      <c r="B27" s="6">
        <f t="shared" ca="1" si="1"/>
        <v>46056</v>
      </c>
      <c r="C27" s="2">
        <f t="shared" si="2"/>
        <v>22326</v>
      </c>
      <c r="D27" s="3" t="str">
        <f t="shared" ca="1" si="3"/>
        <v>Guilherme Ferreira</v>
      </c>
      <c r="E27" s="2" t="str">
        <f t="shared" ca="1" si="4"/>
        <v>Canoas</v>
      </c>
      <c r="F27" s="4">
        <f t="shared" ca="1" si="6"/>
        <v>1842.1000000000001</v>
      </c>
      <c r="G27" s="4">
        <f t="shared" ca="1" si="5"/>
        <v>34842</v>
      </c>
      <c r="H27" s="2">
        <f t="shared" ca="1" si="7"/>
        <v>292</v>
      </c>
      <c r="I27" s="13" t="str">
        <f ca="1">VLOOKUP(E27, $O$2:$Q$100, 2, 0)</f>
        <v>TransPampa</v>
      </c>
      <c r="J27" s="2" t="str">
        <f t="shared" ca="1" si="8"/>
        <v>Em trânsito</v>
      </c>
      <c r="K27" s="14">
        <f ca="1">VLOOKUP(E27, $O$2:$Q$100, 3, 0) * H27</f>
        <v>525.6</v>
      </c>
    </row>
    <row r="28" spans="1:11">
      <c r="A28" s="2">
        <f t="shared" si="0"/>
        <v>27</v>
      </c>
      <c r="B28" s="6">
        <f t="shared" ca="1" si="1"/>
        <v>46081</v>
      </c>
      <c r="C28" s="2">
        <f t="shared" si="2"/>
        <v>22327</v>
      </c>
      <c r="D28" s="3" t="str">
        <f t="shared" ca="1" si="3"/>
        <v>Indústria de Móveis Canoas S.A.</v>
      </c>
      <c r="E28" s="2" t="str">
        <f t="shared" ca="1" si="4"/>
        <v>Viamão</v>
      </c>
      <c r="F28" s="4">
        <f t="shared" ca="1" si="6"/>
        <v>1185.1000000000001</v>
      </c>
      <c r="G28" s="4">
        <f t="shared" ca="1" si="5"/>
        <v>21702</v>
      </c>
      <c r="H28" s="2">
        <f t="shared" ca="1" si="7"/>
        <v>440</v>
      </c>
      <c r="I28" s="13" t="str">
        <f ca="1">VLOOKUP(E28, $O$2:$Q$100, 2, 0)</f>
        <v>LogSul</v>
      </c>
      <c r="J28" s="2" t="str">
        <f t="shared" ca="1" si="8"/>
        <v>Em trânsito</v>
      </c>
      <c r="K28" s="14">
        <f ca="1">VLOOKUP(E28, $O$2:$Q$100, 3, 0) * H28</f>
        <v>726</v>
      </c>
    </row>
    <row r="29" spans="1:11">
      <c r="A29" s="2">
        <f t="shared" si="0"/>
        <v>28</v>
      </c>
      <c r="B29" s="6">
        <f t="shared" ca="1" si="1"/>
        <v>46073</v>
      </c>
      <c r="C29" s="2">
        <f t="shared" si="2"/>
        <v>22328</v>
      </c>
      <c r="D29" s="3" t="str">
        <f t="shared" ca="1" si="3"/>
        <v>Guilherme Ferreira</v>
      </c>
      <c r="E29" s="2" t="str">
        <f t="shared" ca="1" si="4"/>
        <v>Porto Alegre</v>
      </c>
      <c r="F29" s="4">
        <f t="shared" ca="1" si="6"/>
        <v>384.05</v>
      </c>
      <c r="G29" s="4">
        <f t="shared" ca="1" si="5"/>
        <v>4681</v>
      </c>
      <c r="H29" s="2">
        <f t="shared" ca="1" si="7"/>
        <v>31</v>
      </c>
      <c r="I29" s="13" t="str">
        <f ca="1">VLOOKUP(E29, $O$2:$Q$100, 2, 0)</f>
        <v>LogSul</v>
      </c>
      <c r="J29" s="2" t="str">
        <f t="shared" ca="1" si="8"/>
        <v>Entregue</v>
      </c>
      <c r="K29" s="14">
        <f ca="1">VLOOKUP(E29, $O$2:$Q$100, 3, 0) * H29</f>
        <v>46.5</v>
      </c>
    </row>
    <row r="30" spans="1:11">
      <c r="A30" s="2">
        <f t="shared" si="0"/>
        <v>29</v>
      </c>
      <c r="B30" s="6">
        <f t="shared" ca="1" si="1"/>
        <v>46069</v>
      </c>
      <c r="C30" s="2">
        <f t="shared" si="2"/>
        <v>22329</v>
      </c>
      <c r="D30" s="3" t="str">
        <f t="shared" ca="1" si="3"/>
        <v>Guilherme Ferreira</v>
      </c>
      <c r="E30" s="2" t="str">
        <f t="shared" ca="1" si="4"/>
        <v>Canoas</v>
      </c>
      <c r="F30" s="4">
        <f t="shared" ca="1" si="6"/>
        <v>614.65</v>
      </c>
      <c r="G30" s="4">
        <f t="shared" ca="1" si="5"/>
        <v>10293</v>
      </c>
      <c r="H30" s="2">
        <f t="shared" ca="1" si="7"/>
        <v>395</v>
      </c>
      <c r="I30" s="13" t="str">
        <f ca="1">VLOOKUP(E30, $O$2:$Q$100, 2, 0)</f>
        <v>TransPampa</v>
      </c>
      <c r="J30" s="2" t="str">
        <f t="shared" ca="1" si="8"/>
        <v>Em trânsito</v>
      </c>
      <c r="K30" s="14">
        <f ca="1">VLOOKUP(E30, $O$2:$Q$100, 3, 0) * H30</f>
        <v>711</v>
      </c>
    </row>
    <row r="31" spans="1:11">
      <c r="A31" s="2">
        <f t="shared" si="0"/>
        <v>30</v>
      </c>
      <c r="B31" s="6">
        <f t="shared" ca="1" si="1"/>
        <v>46054</v>
      </c>
      <c r="C31" s="2">
        <f t="shared" si="2"/>
        <v>22330</v>
      </c>
      <c r="D31" s="3" t="str">
        <f t="shared" ca="1" si="3"/>
        <v>Distribuidora de Bebidas Sul</v>
      </c>
      <c r="E31" s="2" t="str">
        <f t="shared" ca="1" si="4"/>
        <v>Cachoeirinha</v>
      </c>
      <c r="F31" s="4">
        <f t="shared" ca="1" si="6"/>
        <v>2435.2000000000003</v>
      </c>
      <c r="G31" s="4">
        <f t="shared" ca="1" si="5"/>
        <v>47104</v>
      </c>
      <c r="H31" s="2">
        <f t="shared" ca="1" si="7"/>
        <v>202</v>
      </c>
      <c r="I31" s="13" t="str">
        <f ca="1">VLOOKUP(E31, $O$2:$Q$100, 2, 0)</f>
        <v>Expresso-RS</v>
      </c>
      <c r="J31" s="2" t="str">
        <f t="shared" ca="1" si="8"/>
        <v>Pendente</v>
      </c>
      <c r="K31" s="14">
        <f ca="1">VLOOKUP(E31, $O$2:$Q$100, 3, 0) * H31</f>
        <v>424.20000000000005</v>
      </c>
    </row>
    <row r="32" spans="1:11">
      <c r="A32" s="2">
        <f t="shared" si="0"/>
        <v>31</v>
      </c>
      <c r="B32" s="6">
        <f t="shared" ca="1" si="1"/>
        <v>46056</v>
      </c>
      <c r="C32" s="2">
        <f t="shared" si="2"/>
        <v>22331</v>
      </c>
      <c r="D32" s="3" t="str">
        <f t="shared" ca="1" si="3"/>
        <v>Guilherme Ferreira</v>
      </c>
      <c r="E32" s="2" t="str">
        <f t="shared" ca="1" si="4"/>
        <v>Viamão</v>
      </c>
      <c r="F32" s="4">
        <f t="shared" ca="1" si="6"/>
        <v>684.15</v>
      </c>
      <c r="G32" s="4">
        <f t="shared" ca="1" si="5"/>
        <v>11683</v>
      </c>
      <c r="H32" s="2">
        <f t="shared" ca="1" si="7"/>
        <v>64</v>
      </c>
      <c r="I32" s="13" t="str">
        <f ca="1">VLOOKUP(E32, $O$2:$Q$100, 2, 0)</f>
        <v>LogSul</v>
      </c>
      <c r="J32" s="2" t="str">
        <f t="shared" ca="1" si="8"/>
        <v>Entregue</v>
      </c>
      <c r="K32" s="14">
        <f ca="1">VLOOKUP(E32, $O$2:$Q$100, 3, 0) * H32</f>
        <v>105.6</v>
      </c>
    </row>
    <row r="33" spans="1:11">
      <c r="A33" s="2">
        <f t="shared" si="0"/>
        <v>32</v>
      </c>
      <c r="B33" s="6">
        <f t="shared" ca="1" si="1"/>
        <v>46063</v>
      </c>
      <c r="C33" s="2">
        <f t="shared" si="2"/>
        <v>22332</v>
      </c>
      <c r="D33" s="3" t="str">
        <f t="shared" ca="1" si="3"/>
        <v>Logística Vale do Gravataí LTDA</v>
      </c>
      <c r="E33" s="2" t="str">
        <f t="shared" ca="1" si="4"/>
        <v>Viamão</v>
      </c>
      <c r="F33" s="4">
        <f t="shared" ca="1" si="6"/>
        <v>1477.3000000000002</v>
      </c>
      <c r="G33" s="4">
        <f t="shared" ca="1" si="5"/>
        <v>27546</v>
      </c>
      <c r="H33" s="2">
        <f t="shared" ca="1" si="7"/>
        <v>148</v>
      </c>
      <c r="I33" s="13" t="str">
        <f ca="1">VLOOKUP(E33, $O$2:$Q$100, 2, 0)</f>
        <v>LogSul</v>
      </c>
      <c r="J33" s="2" t="str">
        <f t="shared" ca="1" si="8"/>
        <v>Em trânsito</v>
      </c>
      <c r="K33" s="14">
        <f ca="1">VLOOKUP(E33, $O$2:$Q$100, 3, 0) * H33</f>
        <v>244.2</v>
      </c>
    </row>
    <row r="34" spans="1:11">
      <c r="A34" s="2">
        <f t="shared" ref="A34:A65" si="9">ROW()-1</f>
        <v>33</v>
      </c>
      <c r="B34" s="6">
        <f t="shared" ref="B34:B65" ca="1" si="10">TODAY() -RANDBETWEEN(0,30)</f>
        <v>46075</v>
      </c>
      <c r="C34" s="2">
        <f t="shared" ref="C34:C65" si="11">22300+A34</f>
        <v>22333</v>
      </c>
      <c r="D34" s="3" t="str">
        <f t="shared" ref="D34:D65" ca="1" si="12">CHOOSE(RANDBETWEEN(1, 7), "Logística Vale do Gravataí LTDA", "Distribuidora de Bebidas Sul", "Indústria de Móveis Canoas S.A.", "Supermercados Gaúchos", "Guilherme Ferreira", "Lucas Silva", "Antônio Moura")</f>
        <v>Guilherme Ferreira</v>
      </c>
      <c r="E34" s="2" t="str">
        <f t="shared" ref="E34:E65" ca="1" si="13">CHOOSE(RANDBETWEEN(1, 4), "Porto Alegre", "Canoas", "Cachoeirinha", "Viamão")</f>
        <v>Porto Alegre</v>
      </c>
      <c r="F34" s="4">
        <f t="shared" ref="F34:F65" ca="1" si="14">IF(E34="Cachoeirinha", 80, IF(E34="Porto Alegre", 150, 100)) + (G34 * 0.05)</f>
        <v>1803.2</v>
      </c>
      <c r="G34" s="4">
        <f t="shared" ref="G34:G65" ca="1" si="15">RANDBETWEEN(500,50000)</f>
        <v>33064</v>
      </c>
      <c r="H34" s="2">
        <f t="shared" ref="H34:H65" ca="1" si="16">RANDBETWEEN(10,500)</f>
        <v>445</v>
      </c>
      <c r="I34" s="13" t="str">
        <f ca="1">VLOOKUP(E34, $O$2:$Q$100, 2, 0)</f>
        <v>LogSul</v>
      </c>
      <c r="J34" s="2" t="str">
        <f t="shared" ref="J34:J65" ca="1" si="17">CHOOSE(RANDBETWEEN(1, 3), "Entregue", "Em trânsito", "Pendente")</f>
        <v>Em trânsito</v>
      </c>
      <c r="K34" s="14">
        <f ca="1">VLOOKUP(E34, $O$2:$Q$100, 3, 0) * H34</f>
        <v>667.5</v>
      </c>
    </row>
    <row r="35" spans="1:11">
      <c r="A35" s="2">
        <f t="shared" si="9"/>
        <v>34</v>
      </c>
      <c r="B35" s="6">
        <f t="shared" ca="1" si="10"/>
        <v>46062</v>
      </c>
      <c r="C35" s="2">
        <f t="shared" si="11"/>
        <v>22334</v>
      </c>
      <c r="D35" s="3" t="str">
        <f t="shared" ca="1" si="12"/>
        <v>Indústria de Móveis Canoas S.A.</v>
      </c>
      <c r="E35" s="2" t="str">
        <f t="shared" ca="1" si="13"/>
        <v>Cachoeirinha</v>
      </c>
      <c r="F35" s="4">
        <f t="shared" ca="1" si="14"/>
        <v>858.95</v>
      </c>
      <c r="G35" s="4">
        <f t="shared" ca="1" si="15"/>
        <v>15579</v>
      </c>
      <c r="H35" s="2">
        <f t="shared" ca="1" si="16"/>
        <v>276</v>
      </c>
      <c r="I35" s="13" t="str">
        <f ca="1">VLOOKUP(E35, $O$2:$Q$100, 2, 0)</f>
        <v>Expresso-RS</v>
      </c>
      <c r="J35" s="2" t="str">
        <f t="shared" ca="1" si="17"/>
        <v>Pendente</v>
      </c>
      <c r="K35" s="14">
        <f ca="1">VLOOKUP(E35, $O$2:$Q$100, 3, 0) * H35</f>
        <v>579.6</v>
      </c>
    </row>
    <row r="36" spans="1:11">
      <c r="A36" s="2">
        <f t="shared" si="9"/>
        <v>35</v>
      </c>
      <c r="B36" s="6">
        <f t="shared" ca="1" si="10"/>
        <v>46071</v>
      </c>
      <c r="C36" s="2">
        <f t="shared" si="11"/>
        <v>22335</v>
      </c>
      <c r="D36" s="3" t="str">
        <f t="shared" ca="1" si="12"/>
        <v>Antônio Moura</v>
      </c>
      <c r="E36" s="2" t="str">
        <f t="shared" ca="1" si="13"/>
        <v>Viamão</v>
      </c>
      <c r="F36" s="4">
        <f t="shared" ca="1" si="14"/>
        <v>381.40000000000003</v>
      </c>
      <c r="G36" s="4">
        <f t="shared" ca="1" si="15"/>
        <v>5628</v>
      </c>
      <c r="H36" s="2">
        <f t="shared" ca="1" si="16"/>
        <v>299</v>
      </c>
      <c r="I36" s="13" t="str">
        <f ca="1">VLOOKUP(E36, $O$2:$Q$100, 2, 0)</f>
        <v>LogSul</v>
      </c>
      <c r="J36" s="2" t="str">
        <f t="shared" ca="1" si="17"/>
        <v>Em trânsito</v>
      </c>
      <c r="K36" s="14">
        <f ca="1">VLOOKUP(E36, $O$2:$Q$100, 3, 0) * H36</f>
        <v>493.34999999999997</v>
      </c>
    </row>
    <row r="37" spans="1:11">
      <c r="A37" s="2">
        <f t="shared" si="9"/>
        <v>36</v>
      </c>
      <c r="B37" s="6">
        <f t="shared" ca="1" si="10"/>
        <v>46062</v>
      </c>
      <c r="C37" s="2">
        <f t="shared" si="11"/>
        <v>22336</v>
      </c>
      <c r="D37" s="3" t="str">
        <f t="shared" ca="1" si="12"/>
        <v>Supermercados Gaúchos</v>
      </c>
      <c r="E37" s="2" t="str">
        <f t="shared" ca="1" si="13"/>
        <v>Canoas</v>
      </c>
      <c r="F37" s="4">
        <f t="shared" ca="1" si="14"/>
        <v>1871.8500000000001</v>
      </c>
      <c r="G37" s="4">
        <f t="shared" ca="1" si="15"/>
        <v>35437</v>
      </c>
      <c r="H37" s="2">
        <f t="shared" ca="1" si="16"/>
        <v>57</v>
      </c>
      <c r="I37" s="13" t="str">
        <f ca="1">VLOOKUP(E37, $O$2:$Q$100, 2, 0)</f>
        <v>TransPampa</v>
      </c>
      <c r="J37" s="2" t="str">
        <f t="shared" ca="1" si="17"/>
        <v>Pendente</v>
      </c>
      <c r="K37" s="14">
        <f ca="1">VLOOKUP(E37, $O$2:$Q$100, 3, 0) * H37</f>
        <v>102.60000000000001</v>
      </c>
    </row>
    <row r="38" spans="1:11">
      <c r="A38" s="2">
        <f t="shared" si="9"/>
        <v>37</v>
      </c>
      <c r="B38" s="6">
        <f t="shared" ca="1" si="10"/>
        <v>46060</v>
      </c>
      <c r="C38" s="2">
        <f t="shared" si="11"/>
        <v>22337</v>
      </c>
      <c r="D38" s="3" t="str">
        <f t="shared" ca="1" si="12"/>
        <v>Indústria de Móveis Canoas S.A.</v>
      </c>
      <c r="E38" s="2" t="str">
        <f t="shared" ca="1" si="13"/>
        <v>Viamão</v>
      </c>
      <c r="F38" s="4">
        <f t="shared" ca="1" si="14"/>
        <v>2212.2000000000003</v>
      </c>
      <c r="G38" s="4">
        <f t="shared" ca="1" si="15"/>
        <v>42244</v>
      </c>
      <c r="H38" s="2">
        <f t="shared" ca="1" si="16"/>
        <v>65</v>
      </c>
      <c r="I38" s="13" t="str">
        <f ca="1">VLOOKUP(E38, $O$2:$Q$100, 2, 0)</f>
        <v>LogSul</v>
      </c>
      <c r="J38" s="2" t="str">
        <f t="shared" ca="1" si="17"/>
        <v>Entregue</v>
      </c>
      <c r="K38" s="14">
        <f ca="1">VLOOKUP(E38, $O$2:$Q$100, 3, 0) * H38</f>
        <v>107.25</v>
      </c>
    </row>
    <row r="39" spans="1:11">
      <c r="A39" s="2">
        <f t="shared" si="9"/>
        <v>38</v>
      </c>
      <c r="B39" s="6">
        <f t="shared" ca="1" si="10"/>
        <v>46059</v>
      </c>
      <c r="C39" s="2">
        <f t="shared" si="11"/>
        <v>22338</v>
      </c>
      <c r="D39" s="3" t="str">
        <f t="shared" ca="1" si="12"/>
        <v>Guilherme Ferreira</v>
      </c>
      <c r="E39" s="2" t="str">
        <f t="shared" ca="1" si="13"/>
        <v>Viamão</v>
      </c>
      <c r="F39" s="4">
        <f t="shared" ca="1" si="14"/>
        <v>1249.7</v>
      </c>
      <c r="G39" s="4">
        <f t="shared" ca="1" si="15"/>
        <v>22994</v>
      </c>
      <c r="H39" s="2">
        <f t="shared" ca="1" si="16"/>
        <v>347</v>
      </c>
      <c r="I39" s="13" t="str">
        <f ca="1">VLOOKUP(E39, $O$2:$Q$100, 2, 0)</f>
        <v>LogSul</v>
      </c>
      <c r="J39" s="2" t="str">
        <f t="shared" ca="1" si="17"/>
        <v>Entregue</v>
      </c>
      <c r="K39" s="14">
        <f ca="1">VLOOKUP(E39, $O$2:$Q$100, 3, 0) * H39</f>
        <v>572.54999999999995</v>
      </c>
    </row>
    <row r="40" spans="1:11">
      <c r="A40" s="2">
        <f t="shared" si="9"/>
        <v>39</v>
      </c>
      <c r="B40" s="6">
        <f t="shared" ca="1" si="10"/>
        <v>46070</v>
      </c>
      <c r="C40" s="2">
        <f t="shared" si="11"/>
        <v>22339</v>
      </c>
      <c r="D40" s="3" t="str">
        <f t="shared" ca="1" si="12"/>
        <v>Distribuidora de Bebidas Sul</v>
      </c>
      <c r="E40" s="2" t="str">
        <f t="shared" ca="1" si="13"/>
        <v>Viamão</v>
      </c>
      <c r="F40" s="4">
        <f t="shared" ca="1" si="14"/>
        <v>1250.8</v>
      </c>
      <c r="G40" s="4">
        <f t="shared" ca="1" si="15"/>
        <v>23016</v>
      </c>
      <c r="H40" s="2">
        <f t="shared" ca="1" si="16"/>
        <v>170</v>
      </c>
      <c r="I40" s="13" t="str">
        <f ca="1">VLOOKUP(E40, $O$2:$Q$100, 2, 0)</f>
        <v>LogSul</v>
      </c>
      <c r="J40" s="2" t="str">
        <f t="shared" ca="1" si="17"/>
        <v>Em trânsito</v>
      </c>
      <c r="K40" s="14">
        <f ca="1">VLOOKUP(E40, $O$2:$Q$100, 3, 0) * H40</f>
        <v>280.5</v>
      </c>
    </row>
    <row r="41" spans="1:11">
      <c r="A41" s="2">
        <f t="shared" si="9"/>
        <v>40</v>
      </c>
      <c r="B41" s="6">
        <f t="shared" ca="1" si="10"/>
        <v>46058</v>
      </c>
      <c r="C41" s="2">
        <f t="shared" si="11"/>
        <v>22340</v>
      </c>
      <c r="D41" s="3" t="str">
        <f t="shared" ca="1" si="12"/>
        <v>Guilherme Ferreira</v>
      </c>
      <c r="E41" s="2" t="str">
        <f t="shared" ca="1" si="13"/>
        <v>Viamão</v>
      </c>
      <c r="F41" s="4">
        <f t="shared" ca="1" si="14"/>
        <v>540.79999999999995</v>
      </c>
      <c r="G41" s="4">
        <f t="shared" ca="1" si="15"/>
        <v>8816</v>
      </c>
      <c r="H41" s="2">
        <f t="shared" ca="1" si="16"/>
        <v>441</v>
      </c>
      <c r="I41" s="13" t="str">
        <f ca="1">VLOOKUP(E41, $O$2:$Q$100, 2, 0)</f>
        <v>LogSul</v>
      </c>
      <c r="J41" s="2" t="str">
        <f t="shared" ca="1" si="17"/>
        <v>Em trânsito</v>
      </c>
      <c r="K41" s="14">
        <f ca="1">VLOOKUP(E41, $O$2:$Q$100, 3, 0) * H41</f>
        <v>727.65</v>
      </c>
    </row>
    <row r="42" spans="1:11">
      <c r="A42" s="2">
        <f t="shared" si="9"/>
        <v>41</v>
      </c>
      <c r="B42" s="6">
        <f t="shared" ca="1" si="10"/>
        <v>46054</v>
      </c>
      <c r="C42" s="2">
        <f t="shared" si="11"/>
        <v>22341</v>
      </c>
      <c r="D42" s="3" t="str">
        <f t="shared" ca="1" si="12"/>
        <v>Guilherme Ferreira</v>
      </c>
      <c r="E42" s="2" t="str">
        <f t="shared" ca="1" si="13"/>
        <v>Cachoeirinha</v>
      </c>
      <c r="F42" s="4">
        <f t="shared" ca="1" si="14"/>
        <v>1539.25</v>
      </c>
      <c r="G42" s="4">
        <f t="shared" ca="1" si="15"/>
        <v>29185</v>
      </c>
      <c r="H42" s="2">
        <f t="shared" ca="1" si="16"/>
        <v>149</v>
      </c>
      <c r="I42" s="13" t="str">
        <f ca="1">VLOOKUP(E42, $O$2:$Q$100, 2, 0)</f>
        <v>Expresso-RS</v>
      </c>
      <c r="J42" s="2" t="str">
        <f t="shared" ca="1" si="17"/>
        <v>Em trânsito</v>
      </c>
      <c r="K42" s="14">
        <f ca="1">VLOOKUP(E42, $O$2:$Q$100, 3, 0) * H42</f>
        <v>312.90000000000003</v>
      </c>
    </row>
    <row r="43" spans="1:11">
      <c r="A43" s="2">
        <f t="shared" si="9"/>
        <v>42</v>
      </c>
      <c r="B43" s="6">
        <f t="shared" ca="1" si="10"/>
        <v>46072</v>
      </c>
      <c r="C43" s="2">
        <f t="shared" si="11"/>
        <v>22342</v>
      </c>
      <c r="D43" s="3" t="str">
        <f t="shared" ca="1" si="12"/>
        <v>Antônio Moura</v>
      </c>
      <c r="E43" s="2" t="str">
        <f t="shared" ca="1" si="13"/>
        <v>Canoas</v>
      </c>
      <c r="F43" s="4">
        <f t="shared" ca="1" si="14"/>
        <v>2341.85</v>
      </c>
      <c r="G43" s="4">
        <f t="shared" ca="1" si="15"/>
        <v>44837</v>
      </c>
      <c r="H43" s="2">
        <f t="shared" ca="1" si="16"/>
        <v>364</v>
      </c>
      <c r="I43" s="13" t="str">
        <f ca="1">VLOOKUP(E43, $O$2:$Q$100, 2, 0)</f>
        <v>TransPampa</v>
      </c>
      <c r="J43" s="2" t="str">
        <f t="shared" ca="1" si="17"/>
        <v>Entregue</v>
      </c>
      <c r="K43" s="14">
        <f ca="1">VLOOKUP(E43, $O$2:$Q$100, 3, 0) * H43</f>
        <v>655.20000000000005</v>
      </c>
    </row>
    <row r="44" spans="1:11">
      <c r="A44" s="2">
        <f t="shared" si="9"/>
        <v>43</v>
      </c>
      <c r="B44" s="6">
        <f t="shared" ca="1" si="10"/>
        <v>46079</v>
      </c>
      <c r="C44" s="2">
        <f t="shared" si="11"/>
        <v>22343</v>
      </c>
      <c r="D44" s="3" t="str">
        <f t="shared" ca="1" si="12"/>
        <v>Antônio Moura</v>
      </c>
      <c r="E44" s="2" t="str">
        <f t="shared" ca="1" si="13"/>
        <v>Cachoeirinha</v>
      </c>
      <c r="F44" s="4">
        <f t="shared" ca="1" si="14"/>
        <v>2337.35</v>
      </c>
      <c r="G44" s="4">
        <f t="shared" ca="1" si="15"/>
        <v>45147</v>
      </c>
      <c r="H44" s="2">
        <f t="shared" ca="1" si="16"/>
        <v>95</v>
      </c>
      <c r="I44" s="13" t="str">
        <f ca="1">VLOOKUP(E44, $O$2:$Q$100, 2, 0)</f>
        <v>Expresso-RS</v>
      </c>
      <c r="J44" s="2" t="str">
        <f t="shared" ca="1" si="17"/>
        <v>Entregue</v>
      </c>
      <c r="K44" s="14">
        <f ca="1">VLOOKUP(E44, $O$2:$Q$100, 3, 0) * H44</f>
        <v>199.5</v>
      </c>
    </row>
    <row r="45" spans="1:11">
      <c r="A45" s="2">
        <f t="shared" si="9"/>
        <v>44</v>
      </c>
      <c r="B45" s="6">
        <f t="shared" ca="1" si="10"/>
        <v>46063</v>
      </c>
      <c r="C45" s="2">
        <f t="shared" si="11"/>
        <v>22344</v>
      </c>
      <c r="D45" s="3" t="str">
        <f t="shared" ca="1" si="12"/>
        <v>Lucas Silva</v>
      </c>
      <c r="E45" s="2" t="str">
        <f t="shared" ca="1" si="13"/>
        <v>Cachoeirinha</v>
      </c>
      <c r="F45" s="4">
        <f t="shared" ca="1" si="14"/>
        <v>2397.65</v>
      </c>
      <c r="G45" s="4">
        <f t="shared" ca="1" si="15"/>
        <v>46353</v>
      </c>
      <c r="H45" s="2">
        <f t="shared" ca="1" si="16"/>
        <v>434</v>
      </c>
      <c r="I45" s="13" t="str">
        <f ca="1">VLOOKUP(E45, $O$2:$Q$100, 2, 0)</f>
        <v>Expresso-RS</v>
      </c>
      <c r="J45" s="2" t="str">
        <f t="shared" ca="1" si="17"/>
        <v>Em trânsito</v>
      </c>
      <c r="K45" s="14">
        <f ca="1">VLOOKUP(E45, $O$2:$Q$100, 3, 0) * H45</f>
        <v>911.40000000000009</v>
      </c>
    </row>
    <row r="46" spans="1:11">
      <c r="A46" s="2">
        <f t="shared" si="9"/>
        <v>45</v>
      </c>
      <c r="B46" s="6">
        <f t="shared" ca="1" si="10"/>
        <v>46063</v>
      </c>
      <c r="C46" s="2">
        <f t="shared" si="11"/>
        <v>22345</v>
      </c>
      <c r="D46" s="3" t="str">
        <f t="shared" ca="1" si="12"/>
        <v>Guilherme Ferreira</v>
      </c>
      <c r="E46" s="2" t="str">
        <f t="shared" ca="1" si="13"/>
        <v>Porto Alegre</v>
      </c>
      <c r="F46" s="4">
        <f t="shared" ca="1" si="14"/>
        <v>1756.7</v>
      </c>
      <c r="G46" s="4">
        <f t="shared" ca="1" si="15"/>
        <v>32134</v>
      </c>
      <c r="H46" s="2">
        <f t="shared" ca="1" si="16"/>
        <v>328</v>
      </c>
      <c r="I46" s="13" t="str">
        <f ca="1">VLOOKUP(E46, $O$2:$Q$100, 2, 0)</f>
        <v>LogSul</v>
      </c>
      <c r="J46" s="2" t="str">
        <f t="shared" ca="1" si="17"/>
        <v>Entregue</v>
      </c>
      <c r="K46" s="14">
        <f ca="1">VLOOKUP(E46, $O$2:$Q$100, 3, 0) * H46</f>
        <v>492</v>
      </c>
    </row>
    <row r="47" spans="1:11">
      <c r="A47" s="2">
        <f t="shared" si="9"/>
        <v>46</v>
      </c>
      <c r="B47" s="6">
        <f t="shared" ca="1" si="10"/>
        <v>46083</v>
      </c>
      <c r="C47" s="2">
        <f t="shared" si="11"/>
        <v>22346</v>
      </c>
      <c r="D47" s="3" t="str">
        <f t="shared" ca="1" si="12"/>
        <v>Distribuidora de Bebidas Sul</v>
      </c>
      <c r="E47" s="2" t="str">
        <f t="shared" ca="1" si="13"/>
        <v>Canoas</v>
      </c>
      <c r="F47" s="4">
        <f t="shared" ca="1" si="14"/>
        <v>1583.65</v>
      </c>
      <c r="G47" s="4">
        <f t="shared" ca="1" si="15"/>
        <v>29673</v>
      </c>
      <c r="H47" s="2">
        <f t="shared" ca="1" si="16"/>
        <v>150</v>
      </c>
      <c r="I47" s="13" t="str">
        <f ca="1">VLOOKUP(E47, $O$2:$Q$100, 2, 0)</f>
        <v>TransPampa</v>
      </c>
      <c r="J47" s="2" t="str">
        <f t="shared" ca="1" si="17"/>
        <v>Pendente</v>
      </c>
      <c r="K47" s="14">
        <f ca="1">VLOOKUP(E47, $O$2:$Q$100, 3, 0) * H47</f>
        <v>270</v>
      </c>
    </row>
    <row r="48" spans="1:11">
      <c r="A48" s="2">
        <f t="shared" si="9"/>
        <v>47</v>
      </c>
      <c r="B48" s="6">
        <f t="shared" ca="1" si="10"/>
        <v>46071</v>
      </c>
      <c r="C48" s="2">
        <f t="shared" si="11"/>
        <v>22347</v>
      </c>
      <c r="D48" s="3" t="str">
        <f t="shared" ca="1" si="12"/>
        <v>Indústria de Móveis Canoas S.A.</v>
      </c>
      <c r="E48" s="2" t="str">
        <f t="shared" ca="1" si="13"/>
        <v>Cachoeirinha</v>
      </c>
      <c r="F48" s="4">
        <f t="shared" ca="1" si="14"/>
        <v>317.85000000000002</v>
      </c>
      <c r="G48" s="4">
        <f t="shared" ca="1" si="15"/>
        <v>4757</v>
      </c>
      <c r="H48" s="2">
        <f t="shared" ca="1" si="16"/>
        <v>121</v>
      </c>
      <c r="I48" s="13" t="str">
        <f ca="1">VLOOKUP(E48, $O$2:$Q$100, 2, 0)</f>
        <v>Expresso-RS</v>
      </c>
      <c r="J48" s="2" t="str">
        <f t="shared" ca="1" si="17"/>
        <v>Entregue</v>
      </c>
      <c r="K48" s="14">
        <f ca="1">VLOOKUP(E48, $O$2:$Q$100, 3, 0) * H48</f>
        <v>254.10000000000002</v>
      </c>
    </row>
    <row r="49" spans="1:11">
      <c r="A49" s="2">
        <f t="shared" si="9"/>
        <v>48</v>
      </c>
      <c r="B49" s="6">
        <f t="shared" ca="1" si="10"/>
        <v>46055</v>
      </c>
      <c r="C49" s="2">
        <f t="shared" si="11"/>
        <v>22348</v>
      </c>
      <c r="D49" s="3" t="str">
        <f t="shared" ca="1" si="12"/>
        <v>Distribuidora de Bebidas Sul</v>
      </c>
      <c r="E49" s="2" t="str">
        <f t="shared" ca="1" si="13"/>
        <v>Canoas</v>
      </c>
      <c r="F49" s="4">
        <f t="shared" ca="1" si="14"/>
        <v>1364.8000000000002</v>
      </c>
      <c r="G49" s="4">
        <f t="shared" ca="1" si="15"/>
        <v>25296</v>
      </c>
      <c r="H49" s="2">
        <f t="shared" ca="1" si="16"/>
        <v>44</v>
      </c>
      <c r="I49" s="13" t="str">
        <f ca="1">VLOOKUP(E49, $O$2:$Q$100, 2, 0)</f>
        <v>TransPampa</v>
      </c>
      <c r="J49" s="2" t="str">
        <f t="shared" ca="1" si="17"/>
        <v>Pendente</v>
      </c>
      <c r="K49" s="14">
        <f ca="1">VLOOKUP(E49, $O$2:$Q$100, 3, 0) * H49</f>
        <v>79.2</v>
      </c>
    </row>
    <row r="50" spans="1:11">
      <c r="A50" s="2">
        <f t="shared" si="9"/>
        <v>49</v>
      </c>
      <c r="B50" s="6">
        <f t="shared" ca="1" si="10"/>
        <v>46067</v>
      </c>
      <c r="C50" s="2">
        <f t="shared" si="11"/>
        <v>22349</v>
      </c>
      <c r="D50" s="3" t="str">
        <f t="shared" ca="1" si="12"/>
        <v>Antônio Moura</v>
      </c>
      <c r="E50" s="2" t="str">
        <f t="shared" ca="1" si="13"/>
        <v>Canoas</v>
      </c>
      <c r="F50" s="4">
        <f t="shared" ca="1" si="14"/>
        <v>1736.1000000000001</v>
      </c>
      <c r="G50" s="4">
        <f t="shared" ca="1" si="15"/>
        <v>32722</v>
      </c>
      <c r="H50" s="2">
        <f t="shared" ca="1" si="16"/>
        <v>217</v>
      </c>
      <c r="I50" s="13" t="str">
        <f ca="1">VLOOKUP(E50, $O$2:$Q$100, 2, 0)</f>
        <v>TransPampa</v>
      </c>
      <c r="J50" s="2" t="str">
        <f t="shared" ca="1" si="17"/>
        <v>Em trânsito</v>
      </c>
      <c r="K50" s="14">
        <f ca="1">VLOOKUP(E50, $O$2:$Q$100, 3, 0) * H50</f>
        <v>390.6</v>
      </c>
    </row>
    <row r="51" spans="1:11">
      <c r="A51" s="2">
        <f t="shared" si="9"/>
        <v>50</v>
      </c>
      <c r="B51" s="6">
        <f t="shared" ca="1" si="10"/>
        <v>46080</v>
      </c>
      <c r="C51" s="2">
        <f t="shared" si="11"/>
        <v>22350</v>
      </c>
      <c r="D51" s="3" t="str">
        <f t="shared" ca="1" si="12"/>
        <v>Distribuidora de Bebidas Sul</v>
      </c>
      <c r="E51" s="2" t="str">
        <f t="shared" ca="1" si="13"/>
        <v>Canoas</v>
      </c>
      <c r="F51" s="4">
        <f t="shared" ca="1" si="14"/>
        <v>165</v>
      </c>
      <c r="G51" s="4">
        <f t="shared" ca="1" si="15"/>
        <v>1300</v>
      </c>
      <c r="H51" s="2">
        <f t="shared" ca="1" si="16"/>
        <v>488</v>
      </c>
      <c r="I51" s="13" t="str">
        <f ca="1">VLOOKUP(E51, $O$2:$Q$100, 2, 0)</f>
        <v>TransPampa</v>
      </c>
      <c r="J51" s="2" t="str">
        <f t="shared" ca="1" si="17"/>
        <v>Entregue</v>
      </c>
      <c r="K51" s="14">
        <f ca="1">VLOOKUP(E51, $O$2:$Q$100, 3, 0) * H51</f>
        <v>878.4</v>
      </c>
    </row>
    <row r="52" spans="1:11">
      <c r="A52" s="2">
        <f t="shared" si="9"/>
        <v>51</v>
      </c>
      <c r="B52" s="6">
        <f t="shared" ca="1" si="10"/>
        <v>46083</v>
      </c>
      <c r="C52" s="2">
        <f t="shared" si="11"/>
        <v>22351</v>
      </c>
      <c r="D52" s="3" t="str">
        <f t="shared" ca="1" si="12"/>
        <v>Antônio Moura</v>
      </c>
      <c r="E52" s="2" t="str">
        <f t="shared" ca="1" si="13"/>
        <v>Porto Alegre</v>
      </c>
      <c r="F52" s="4">
        <f t="shared" ca="1" si="14"/>
        <v>395.65</v>
      </c>
      <c r="G52" s="4">
        <f t="shared" ca="1" si="15"/>
        <v>4913</v>
      </c>
      <c r="H52" s="2">
        <f t="shared" ca="1" si="16"/>
        <v>168</v>
      </c>
      <c r="I52" s="13" t="str">
        <f ca="1">VLOOKUP(E52, $O$2:$Q$100, 2, 0)</f>
        <v>LogSul</v>
      </c>
      <c r="J52" s="2" t="str">
        <f t="shared" ca="1" si="17"/>
        <v>Em trânsito</v>
      </c>
      <c r="K52" s="14">
        <f ca="1">VLOOKUP(E52, $O$2:$Q$100, 3, 0) * H52</f>
        <v>252</v>
      </c>
    </row>
    <row r="53" spans="1:11">
      <c r="A53" s="2">
        <f t="shared" si="9"/>
        <v>52</v>
      </c>
      <c r="B53" s="6">
        <f t="shared" ca="1" si="10"/>
        <v>46077</v>
      </c>
      <c r="C53" s="2">
        <f t="shared" si="11"/>
        <v>22352</v>
      </c>
      <c r="D53" s="3" t="str">
        <f t="shared" ca="1" si="12"/>
        <v>Guilherme Ferreira</v>
      </c>
      <c r="E53" s="2" t="str">
        <f t="shared" ca="1" si="13"/>
        <v>Viamão</v>
      </c>
      <c r="F53" s="4">
        <f t="shared" ca="1" si="14"/>
        <v>1182.25</v>
      </c>
      <c r="G53" s="4">
        <f t="shared" ca="1" si="15"/>
        <v>21645</v>
      </c>
      <c r="H53" s="2">
        <f t="shared" ca="1" si="16"/>
        <v>108</v>
      </c>
      <c r="I53" s="13" t="str">
        <f ca="1">VLOOKUP(E53, $O$2:$Q$100, 2, 0)</f>
        <v>LogSul</v>
      </c>
      <c r="J53" s="2" t="str">
        <f t="shared" ca="1" si="17"/>
        <v>Pendente</v>
      </c>
      <c r="K53" s="14">
        <f ca="1">VLOOKUP(E53, $O$2:$Q$100, 3, 0) * H53</f>
        <v>178.2</v>
      </c>
    </row>
    <row r="54" spans="1:11">
      <c r="A54" s="2">
        <f t="shared" si="9"/>
        <v>53</v>
      </c>
      <c r="B54" s="6">
        <f t="shared" ca="1" si="10"/>
        <v>46055</v>
      </c>
      <c r="C54" s="2">
        <f t="shared" si="11"/>
        <v>22353</v>
      </c>
      <c r="D54" s="3" t="str">
        <f t="shared" ca="1" si="12"/>
        <v>Supermercados Gaúchos</v>
      </c>
      <c r="E54" s="2" t="str">
        <f t="shared" ca="1" si="13"/>
        <v>Canoas</v>
      </c>
      <c r="F54" s="4">
        <f t="shared" ca="1" si="14"/>
        <v>1510.65</v>
      </c>
      <c r="G54" s="4">
        <f t="shared" ca="1" si="15"/>
        <v>28213</v>
      </c>
      <c r="H54" s="2">
        <f t="shared" ca="1" si="16"/>
        <v>452</v>
      </c>
      <c r="I54" s="13" t="str">
        <f ca="1">VLOOKUP(E54, $O$2:$Q$100, 2, 0)</f>
        <v>TransPampa</v>
      </c>
      <c r="J54" s="2" t="str">
        <f t="shared" ca="1" si="17"/>
        <v>Pendente</v>
      </c>
      <c r="K54" s="14">
        <f ca="1">VLOOKUP(E54, $O$2:$Q$100, 3, 0) * H54</f>
        <v>813.6</v>
      </c>
    </row>
    <row r="55" spans="1:11">
      <c r="A55" s="2">
        <f t="shared" si="9"/>
        <v>54</v>
      </c>
      <c r="B55" s="6">
        <f t="shared" ca="1" si="10"/>
        <v>46075</v>
      </c>
      <c r="C55" s="2">
        <f t="shared" si="11"/>
        <v>22354</v>
      </c>
      <c r="D55" s="3" t="str">
        <f t="shared" ca="1" si="12"/>
        <v>Lucas Silva</v>
      </c>
      <c r="E55" s="2" t="str">
        <f t="shared" ca="1" si="13"/>
        <v>Porto Alegre</v>
      </c>
      <c r="F55" s="4">
        <f t="shared" ca="1" si="14"/>
        <v>1853.1000000000001</v>
      </c>
      <c r="G55" s="4">
        <f t="shared" ca="1" si="15"/>
        <v>34062</v>
      </c>
      <c r="H55" s="2">
        <f t="shared" ca="1" si="16"/>
        <v>123</v>
      </c>
      <c r="I55" s="13" t="str">
        <f ca="1">VLOOKUP(E55, $O$2:$Q$100, 2, 0)</f>
        <v>LogSul</v>
      </c>
      <c r="J55" s="2" t="str">
        <f t="shared" ca="1" si="17"/>
        <v>Entregue</v>
      </c>
      <c r="K55" s="14">
        <f ca="1">VLOOKUP(E55, $O$2:$Q$100, 3, 0) * H55</f>
        <v>184.5</v>
      </c>
    </row>
    <row r="56" spans="1:11">
      <c r="A56" s="2">
        <f t="shared" si="9"/>
        <v>55</v>
      </c>
      <c r="B56" s="6">
        <f t="shared" ca="1" si="10"/>
        <v>46071</v>
      </c>
      <c r="C56" s="2">
        <f t="shared" si="11"/>
        <v>22355</v>
      </c>
      <c r="D56" s="3" t="str">
        <f t="shared" ca="1" si="12"/>
        <v>Antônio Moura</v>
      </c>
      <c r="E56" s="2" t="str">
        <f t="shared" ca="1" si="13"/>
        <v>Viamão</v>
      </c>
      <c r="F56" s="4">
        <f t="shared" ca="1" si="14"/>
        <v>965.40000000000009</v>
      </c>
      <c r="G56" s="4">
        <f t="shared" ca="1" si="15"/>
        <v>17308</v>
      </c>
      <c r="H56" s="2">
        <f t="shared" ca="1" si="16"/>
        <v>491</v>
      </c>
      <c r="I56" s="13" t="str">
        <f ca="1">VLOOKUP(E56, $O$2:$Q$100, 2, 0)</f>
        <v>LogSul</v>
      </c>
      <c r="J56" s="2" t="str">
        <f t="shared" ca="1" si="17"/>
        <v>Em trânsito</v>
      </c>
      <c r="K56" s="14">
        <f ca="1">VLOOKUP(E56, $O$2:$Q$100, 3, 0) * H56</f>
        <v>810.15</v>
      </c>
    </row>
    <row r="57" spans="1:11">
      <c r="A57" s="2">
        <f t="shared" si="9"/>
        <v>56</v>
      </c>
      <c r="B57" s="6">
        <f t="shared" ca="1" si="10"/>
        <v>46076</v>
      </c>
      <c r="C57" s="2">
        <f t="shared" si="11"/>
        <v>22356</v>
      </c>
      <c r="D57" s="3" t="str">
        <f t="shared" ca="1" si="12"/>
        <v>Supermercados Gaúchos</v>
      </c>
      <c r="E57" s="2" t="str">
        <f t="shared" ca="1" si="13"/>
        <v>Canoas</v>
      </c>
      <c r="F57" s="4">
        <f t="shared" ca="1" si="14"/>
        <v>2517.2000000000003</v>
      </c>
      <c r="G57" s="4">
        <f t="shared" ca="1" si="15"/>
        <v>48344</v>
      </c>
      <c r="H57" s="2">
        <f t="shared" ca="1" si="16"/>
        <v>390</v>
      </c>
      <c r="I57" s="13" t="str">
        <f ca="1">VLOOKUP(E57, $O$2:$Q$100, 2, 0)</f>
        <v>TransPampa</v>
      </c>
      <c r="J57" s="2" t="str">
        <f t="shared" ca="1" si="17"/>
        <v>Entregue</v>
      </c>
      <c r="K57" s="14">
        <f ca="1">VLOOKUP(E57, $O$2:$Q$100, 3, 0) * H57</f>
        <v>702</v>
      </c>
    </row>
    <row r="58" spans="1:11">
      <c r="A58" s="2">
        <f t="shared" si="9"/>
        <v>57</v>
      </c>
      <c r="B58" s="6">
        <f t="shared" ca="1" si="10"/>
        <v>46069</v>
      </c>
      <c r="C58" s="2">
        <f t="shared" si="11"/>
        <v>22357</v>
      </c>
      <c r="D58" s="3" t="str">
        <f t="shared" ca="1" si="12"/>
        <v>Logística Vale do Gravataí LTDA</v>
      </c>
      <c r="E58" s="2" t="str">
        <f t="shared" ca="1" si="13"/>
        <v>Porto Alegre</v>
      </c>
      <c r="F58" s="4">
        <f t="shared" ca="1" si="14"/>
        <v>419.40000000000003</v>
      </c>
      <c r="G58" s="4">
        <f t="shared" ca="1" si="15"/>
        <v>5388</v>
      </c>
      <c r="H58" s="2">
        <f t="shared" ca="1" si="16"/>
        <v>36</v>
      </c>
      <c r="I58" s="13" t="str">
        <f ca="1">VLOOKUP(E58, $O$2:$Q$100, 2, 0)</f>
        <v>LogSul</v>
      </c>
      <c r="J58" s="2" t="str">
        <f t="shared" ca="1" si="17"/>
        <v>Entregue</v>
      </c>
      <c r="K58" s="14">
        <f ca="1">VLOOKUP(E58, $O$2:$Q$100, 3, 0) * H58</f>
        <v>54</v>
      </c>
    </row>
    <row r="59" spans="1:11">
      <c r="A59" s="2">
        <f t="shared" si="9"/>
        <v>58</v>
      </c>
      <c r="B59" s="6">
        <f t="shared" ca="1" si="10"/>
        <v>46077</v>
      </c>
      <c r="C59" s="2">
        <f t="shared" si="11"/>
        <v>22358</v>
      </c>
      <c r="D59" s="3" t="str">
        <f t="shared" ca="1" si="12"/>
        <v>Indústria de Móveis Canoas S.A.</v>
      </c>
      <c r="E59" s="2" t="str">
        <f t="shared" ca="1" si="13"/>
        <v>Porto Alegre</v>
      </c>
      <c r="F59" s="4">
        <f t="shared" ca="1" si="14"/>
        <v>254.3</v>
      </c>
      <c r="G59" s="4">
        <f t="shared" ca="1" si="15"/>
        <v>2086</v>
      </c>
      <c r="H59" s="2">
        <f t="shared" ca="1" si="16"/>
        <v>210</v>
      </c>
      <c r="I59" s="13" t="str">
        <f ca="1">VLOOKUP(E59, $O$2:$Q$100, 2, 0)</f>
        <v>LogSul</v>
      </c>
      <c r="J59" s="2" t="str">
        <f t="shared" ca="1" si="17"/>
        <v>Em trânsito</v>
      </c>
      <c r="K59" s="14">
        <f ca="1">VLOOKUP(E59, $O$2:$Q$100, 3, 0) * H59</f>
        <v>315</v>
      </c>
    </row>
    <row r="60" spans="1:11">
      <c r="A60" s="2">
        <f t="shared" si="9"/>
        <v>59</v>
      </c>
      <c r="B60" s="6">
        <f t="shared" ca="1" si="10"/>
        <v>46062</v>
      </c>
      <c r="C60" s="2">
        <f t="shared" si="11"/>
        <v>22359</v>
      </c>
      <c r="D60" s="3" t="str">
        <f t="shared" ca="1" si="12"/>
        <v>Antônio Moura</v>
      </c>
      <c r="E60" s="2" t="str">
        <f t="shared" ca="1" si="13"/>
        <v>Canoas</v>
      </c>
      <c r="F60" s="4">
        <f t="shared" ca="1" si="14"/>
        <v>1610.9</v>
      </c>
      <c r="G60" s="4">
        <f t="shared" ca="1" si="15"/>
        <v>30218</v>
      </c>
      <c r="H60" s="2">
        <f t="shared" ca="1" si="16"/>
        <v>271</v>
      </c>
      <c r="I60" s="13" t="str">
        <f ca="1">VLOOKUP(E60, $O$2:$Q$100, 2, 0)</f>
        <v>TransPampa</v>
      </c>
      <c r="J60" s="2" t="str">
        <f t="shared" ca="1" si="17"/>
        <v>Entregue</v>
      </c>
      <c r="K60" s="14">
        <f ca="1">VLOOKUP(E60, $O$2:$Q$100, 3, 0) * H60</f>
        <v>487.8</v>
      </c>
    </row>
    <row r="61" spans="1:11">
      <c r="A61" s="2">
        <f t="shared" si="9"/>
        <v>60</v>
      </c>
      <c r="B61" s="6">
        <f t="shared" ca="1" si="10"/>
        <v>46060</v>
      </c>
      <c r="C61" s="2">
        <f t="shared" si="11"/>
        <v>22360</v>
      </c>
      <c r="D61" s="3" t="str">
        <f t="shared" ca="1" si="12"/>
        <v>Distribuidora de Bebidas Sul</v>
      </c>
      <c r="E61" s="2" t="str">
        <f t="shared" ca="1" si="13"/>
        <v>Canoas</v>
      </c>
      <c r="F61" s="4">
        <f t="shared" ca="1" si="14"/>
        <v>958.15000000000009</v>
      </c>
      <c r="G61" s="4">
        <f t="shared" ca="1" si="15"/>
        <v>17163</v>
      </c>
      <c r="H61" s="2">
        <f t="shared" ca="1" si="16"/>
        <v>409</v>
      </c>
      <c r="I61" s="13" t="str">
        <f ca="1">VLOOKUP(E61, $O$2:$Q$100, 2, 0)</f>
        <v>TransPampa</v>
      </c>
      <c r="J61" s="2" t="str">
        <f t="shared" ca="1" si="17"/>
        <v>Pendente</v>
      </c>
      <c r="K61" s="14">
        <f ca="1">VLOOKUP(E61, $O$2:$Q$100, 3, 0) * H61</f>
        <v>736.2</v>
      </c>
    </row>
    <row r="62" spans="1:11">
      <c r="A62" s="2">
        <f t="shared" si="9"/>
        <v>61</v>
      </c>
      <c r="B62" s="6">
        <f t="shared" ca="1" si="10"/>
        <v>46060</v>
      </c>
      <c r="C62" s="2">
        <f t="shared" si="11"/>
        <v>22361</v>
      </c>
      <c r="D62" s="3" t="str">
        <f t="shared" ca="1" si="12"/>
        <v>Guilherme Ferreira</v>
      </c>
      <c r="E62" s="2" t="str">
        <f t="shared" ca="1" si="13"/>
        <v>Viamão</v>
      </c>
      <c r="F62" s="4">
        <f t="shared" ca="1" si="14"/>
        <v>2156.2000000000003</v>
      </c>
      <c r="G62" s="4">
        <f t="shared" ca="1" si="15"/>
        <v>41124</v>
      </c>
      <c r="H62" s="2">
        <f t="shared" ca="1" si="16"/>
        <v>290</v>
      </c>
      <c r="I62" s="13" t="str">
        <f ca="1">VLOOKUP(E62, $O$2:$Q$100, 2, 0)</f>
        <v>LogSul</v>
      </c>
      <c r="J62" s="2" t="str">
        <f t="shared" ca="1" si="17"/>
        <v>Entregue</v>
      </c>
      <c r="K62" s="14">
        <f ca="1">VLOOKUP(E62, $O$2:$Q$100, 3, 0) * H62</f>
        <v>478.5</v>
      </c>
    </row>
    <row r="63" spans="1:11">
      <c r="A63" s="2">
        <f t="shared" si="9"/>
        <v>62</v>
      </c>
      <c r="B63" s="6">
        <f t="shared" ca="1" si="10"/>
        <v>46083</v>
      </c>
      <c r="C63" s="2">
        <f t="shared" si="11"/>
        <v>22362</v>
      </c>
      <c r="D63" s="3" t="str">
        <f t="shared" ca="1" si="12"/>
        <v>Logística Vale do Gravataí LTDA</v>
      </c>
      <c r="E63" s="2" t="str">
        <f t="shared" ca="1" si="13"/>
        <v>Canoas</v>
      </c>
      <c r="F63" s="4">
        <f t="shared" ca="1" si="14"/>
        <v>476.25</v>
      </c>
      <c r="G63" s="4">
        <f t="shared" ca="1" si="15"/>
        <v>7525</v>
      </c>
      <c r="H63" s="2">
        <f t="shared" ca="1" si="16"/>
        <v>180</v>
      </c>
      <c r="I63" s="13" t="str">
        <f ca="1">VLOOKUP(E63, $O$2:$Q$100, 2, 0)</f>
        <v>TransPampa</v>
      </c>
      <c r="J63" s="2" t="str">
        <f t="shared" ca="1" si="17"/>
        <v>Pendente</v>
      </c>
      <c r="K63" s="14">
        <f ca="1">VLOOKUP(E63, $O$2:$Q$100, 3, 0) * H63</f>
        <v>324</v>
      </c>
    </row>
    <row r="64" spans="1:11">
      <c r="A64" s="2">
        <f t="shared" si="9"/>
        <v>63</v>
      </c>
      <c r="B64" s="6">
        <f t="shared" ca="1" si="10"/>
        <v>46073</v>
      </c>
      <c r="C64" s="2">
        <f t="shared" si="11"/>
        <v>22363</v>
      </c>
      <c r="D64" s="3" t="str">
        <f t="shared" ca="1" si="12"/>
        <v>Guilherme Ferreira</v>
      </c>
      <c r="E64" s="2" t="str">
        <f t="shared" ca="1" si="13"/>
        <v>Viamão</v>
      </c>
      <c r="F64" s="4">
        <f t="shared" ca="1" si="14"/>
        <v>310.14999999999998</v>
      </c>
      <c r="G64" s="4">
        <f t="shared" ca="1" si="15"/>
        <v>4203</v>
      </c>
      <c r="H64" s="2">
        <f t="shared" ca="1" si="16"/>
        <v>176</v>
      </c>
      <c r="I64" s="13" t="str">
        <f ca="1">VLOOKUP(E64, $O$2:$Q$100, 2, 0)</f>
        <v>LogSul</v>
      </c>
      <c r="J64" s="2" t="str">
        <f t="shared" ca="1" si="17"/>
        <v>Entregue</v>
      </c>
      <c r="K64" s="14">
        <f ca="1">VLOOKUP(E64, $O$2:$Q$100, 3, 0) * H64</f>
        <v>290.39999999999998</v>
      </c>
    </row>
    <row r="65" spans="1:11">
      <c r="A65" s="2">
        <f t="shared" si="9"/>
        <v>64</v>
      </c>
      <c r="B65" s="6">
        <f t="shared" ca="1" si="10"/>
        <v>46083</v>
      </c>
      <c r="C65" s="2">
        <f t="shared" si="11"/>
        <v>22364</v>
      </c>
      <c r="D65" s="3" t="str">
        <f t="shared" ca="1" si="12"/>
        <v>Guilherme Ferreira</v>
      </c>
      <c r="E65" s="2" t="str">
        <f t="shared" ca="1" si="13"/>
        <v>Porto Alegre</v>
      </c>
      <c r="F65" s="4">
        <f t="shared" ca="1" si="14"/>
        <v>1655.25</v>
      </c>
      <c r="G65" s="4">
        <f t="shared" ca="1" si="15"/>
        <v>30105</v>
      </c>
      <c r="H65" s="2">
        <f t="shared" ca="1" si="16"/>
        <v>473</v>
      </c>
      <c r="I65" s="13" t="str">
        <f ca="1">VLOOKUP(E65, $O$2:$Q$100, 2, 0)</f>
        <v>LogSul</v>
      </c>
      <c r="J65" s="2" t="str">
        <f t="shared" ca="1" si="17"/>
        <v>Pendente</v>
      </c>
      <c r="K65" s="14">
        <f ca="1">VLOOKUP(E65, $O$2:$Q$100, 3, 0) * H65</f>
        <v>709.5</v>
      </c>
    </row>
    <row r="66" spans="1:11">
      <c r="A66" s="2">
        <f t="shared" ref="A66:A100" si="18">ROW()-1</f>
        <v>65</v>
      </c>
      <c r="B66" s="6">
        <f t="shared" ref="B66:B100" ca="1" si="19">TODAY() -RANDBETWEEN(0,30)</f>
        <v>46057</v>
      </c>
      <c r="C66" s="2">
        <f t="shared" ref="C66:C100" si="20">22300+A66</f>
        <v>22365</v>
      </c>
      <c r="D66" s="3" t="str">
        <f t="shared" ref="D66:D100" ca="1" si="21">CHOOSE(RANDBETWEEN(1, 7), "Logística Vale do Gravataí LTDA", "Distribuidora de Bebidas Sul", "Indústria de Móveis Canoas S.A.", "Supermercados Gaúchos", "Guilherme Ferreira", "Lucas Silva", "Antônio Moura")</f>
        <v>Supermercados Gaúchos</v>
      </c>
      <c r="E66" s="2" t="str">
        <f t="shared" ref="E66:E100" ca="1" si="22">CHOOSE(RANDBETWEEN(1, 4), "Porto Alegre", "Canoas", "Cachoeirinha", "Viamão")</f>
        <v>Porto Alegre</v>
      </c>
      <c r="F66" s="4">
        <f t="shared" ref="F66:F97" ca="1" si="23">IF(E66="Cachoeirinha", 80, IF(E66="Porto Alegre", 150, 100)) + (G66 * 0.05)</f>
        <v>215.75</v>
      </c>
      <c r="G66" s="4">
        <f t="shared" ref="G66:G100" ca="1" si="24">RANDBETWEEN(500,50000)</f>
        <v>1315</v>
      </c>
      <c r="H66" s="2">
        <f t="shared" ref="H66:H100" ca="1" si="25">RANDBETWEEN(10,500)</f>
        <v>13</v>
      </c>
      <c r="I66" s="13" t="str">
        <f ca="1">VLOOKUP(E66, $O$2:$Q$100, 2, 0)</f>
        <v>LogSul</v>
      </c>
      <c r="J66" s="2" t="str">
        <f t="shared" ref="J66:J100" ca="1" si="26">CHOOSE(RANDBETWEEN(1, 3), "Entregue", "Em trânsito", "Pendente")</f>
        <v>Entregue</v>
      </c>
      <c r="K66" s="14">
        <f ca="1">VLOOKUP(E66, $O$2:$Q$100, 3, 0) * H66</f>
        <v>19.5</v>
      </c>
    </row>
    <row r="67" spans="1:11">
      <c r="A67" s="2">
        <f t="shared" si="18"/>
        <v>66</v>
      </c>
      <c r="B67" s="6">
        <f t="shared" ca="1" si="19"/>
        <v>46059</v>
      </c>
      <c r="C67" s="2">
        <f t="shared" si="20"/>
        <v>22366</v>
      </c>
      <c r="D67" s="3" t="str">
        <f t="shared" ca="1" si="21"/>
        <v>Indústria de Móveis Canoas S.A.</v>
      </c>
      <c r="E67" s="2" t="str">
        <f t="shared" ca="1" si="22"/>
        <v>Porto Alegre</v>
      </c>
      <c r="F67" s="4">
        <f t="shared" ca="1" si="23"/>
        <v>1453.65</v>
      </c>
      <c r="G67" s="4">
        <f t="shared" ca="1" si="24"/>
        <v>26073</v>
      </c>
      <c r="H67" s="2">
        <f t="shared" ca="1" si="25"/>
        <v>170</v>
      </c>
      <c r="I67" s="13" t="str">
        <f ca="1">VLOOKUP(E67, $O$2:$Q$100, 2, 0)</f>
        <v>LogSul</v>
      </c>
      <c r="J67" s="2" t="str">
        <f t="shared" ca="1" si="26"/>
        <v>Entregue</v>
      </c>
      <c r="K67" s="14">
        <f ca="1">VLOOKUP(E67, $O$2:$Q$100, 3, 0) * H67</f>
        <v>255</v>
      </c>
    </row>
    <row r="68" spans="1:11">
      <c r="A68" s="2">
        <f t="shared" si="18"/>
        <v>67</v>
      </c>
      <c r="B68" s="6">
        <f t="shared" ca="1" si="19"/>
        <v>46070</v>
      </c>
      <c r="C68" s="2">
        <f t="shared" si="20"/>
        <v>22367</v>
      </c>
      <c r="D68" s="3" t="str">
        <f t="shared" ca="1" si="21"/>
        <v>Guilherme Ferreira</v>
      </c>
      <c r="E68" s="2" t="str">
        <f t="shared" ca="1" si="22"/>
        <v>Cachoeirinha</v>
      </c>
      <c r="F68" s="4">
        <f t="shared" ca="1" si="23"/>
        <v>992.1</v>
      </c>
      <c r="G68" s="4">
        <f t="shared" ca="1" si="24"/>
        <v>18242</v>
      </c>
      <c r="H68" s="2">
        <f t="shared" ca="1" si="25"/>
        <v>284</v>
      </c>
      <c r="I68" s="13" t="str">
        <f ca="1">VLOOKUP(E68, $O$2:$Q$100, 2, 0)</f>
        <v>Expresso-RS</v>
      </c>
      <c r="J68" s="2" t="str">
        <f t="shared" ca="1" si="26"/>
        <v>Pendente</v>
      </c>
      <c r="K68" s="14">
        <f ca="1">VLOOKUP(E68, $O$2:$Q$100, 3, 0) * H68</f>
        <v>596.4</v>
      </c>
    </row>
    <row r="69" spans="1:11">
      <c r="A69" s="2">
        <f t="shared" si="18"/>
        <v>68</v>
      </c>
      <c r="B69" s="6">
        <f t="shared" ca="1" si="19"/>
        <v>46079</v>
      </c>
      <c r="C69" s="2">
        <f t="shared" si="20"/>
        <v>22368</v>
      </c>
      <c r="D69" s="3" t="str">
        <f t="shared" ca="1" si="21"/>
        <v>Logística Vale do Gravataí LTDA</v>
      </c>
      <c r="E69" s="2" t="str">
        <f t="shared" ca="1" si="22"/>
        <v>Viamão</v>
      </c>
      <c r="F69" s="4">
        <f t="shared" ca="1" si="23"/>
        <v>1005.75</v>
      </c>
      <c r="G69" s="4">
        <f t="shared" ca="1" si="24"/>
        <v>18115</v>
      </c>
      <c r="H69" s="2">
        <f t="shared" ca="1" si="25"/>
        <v>370</v>
      </c>
      <c r="I69" s="13" t="str">
        <f ca="1">VLOOKUP(E69, $O$2:$Q$100, 2, 0)</f>
        <v>LogSul</v>
      </c>
      <c r="J69" s="2" t="str">
        <f t="shared" ca="1" si="26"/>
        <v>Entregue</v>
      </c>
      <c r="K69" s="14">
        <f ca="1">VLOOKUP(E69, $O$2:$Q$100, 3, 0) * H69</f>
        <v>610.5</v>
      </c>
    </row>
    <row r="70" spans="1:11">
      <c r="A70" s="2">
        <f t="shared" si="18"/>
        <v>69</v>
      </c>
      <c r="B70" s="6">
        <f t="shared" ca="1" si="19"/>
        <v>46082</v>
      </c>
      <c r="C70" s="2">
        <f t="shared" si="20"/>
        <v>22369</v>
      </c>
      <c r="D70" s="3" t="str">
        <f t="shared" ca="1" si="21"/>
        <v>Supermercados Gaúchos</v>
      </c>
      <c r="E70" s="2" t="str">
        <f t="shared" ca="1" si="22"/>
        <v>Canoas</v>
      </c>
      <c r="F70" s="4">
        <f t="shared" ca="1" si="23"/>
        <v>2511.1</v>
      </c>
      <c r="G70" s="4">
        <f t="shared" ca="1" si="24"/>
        <v>48222</v>
      </c>
      <c r="H70" s="2">
        <f t="shared" ca="1" si="25"/>
        <v>203</v>
      </c>
      <c r="I70" s="13" t="str">
        <f ca="1">VLOOKUP(E70, $O$2:$Q$100, 2, 0)</f>
        <v>TransPampa</v>
      </c>
      <c r="J70" s="2" t="str">
        <f t="shared" ca="1" si="26"/>
        <v>Em trânsito</v>
      </c>
      <c r="K70" s="14">
        <f ca="1">VLOOKUP(E70, $O$2:$Q$100, 3, 0) * H70</f>
        <v>365.40000000000003</v>
      </c>
    </row>
    <row r="71" spans="1:11">
      <c r="A71" s="2">
        <f t="shared" si="18"/>
        <v>70</v>
      </c>
      <c r="B71" s="6">
        <f t="shared" ca="1" si="19"/>
        <v>46083</v>
      </c>
      <c r="C71" s="2">
        <f t="shared" si="20"/>
        <v>22370</v>
      </c>
      <c r="D71" s="3" t="str">
        <f t="shared" ca="1" si="21"/>
        <v>Guilherme Ferreira</v>
      </c>
      <c r="E71" s="2" t="str">
        <f t="shared" ca="1" si="22"/>
        <v>Viamão</v>
      </c>
      <c r="F71" s="4">
        <f t="shared" ca="1" si="23"/>
        <v>954.95</v>
      </c>
      <c r="G71" s="4">
        <f t="shared" ca="1" si="24"/>
        <v>17099</v>
      </c>
      <c r="H71" s="2">
        <f t="shared" ca="1" si="25"/>
        <v>114</v>
      </c>
      <c r="I71" s="13" t="str">
        <f ca="1">VLOOKUP(E71, $O$2:$Q$100, 2, 0)</f>
        <v>LogSul</v>
      </c>
      <c r="J71" s="2" t="str">
        <f t="shared" ca="1" si="26"/>
        <v>Entregue</v>
      </c>
      <c r="K71" s="14">
        <f ca="1">VLOOKUP(E71, $O$2:$Q$100, 3, 0) * H71</f>
        <v>188.1</v>
      </c>
    </row>
    <row r="72" spans="1:11">
      <c r="A72" s="2">
        <f t="shared" si="18"/>
        <v>71</v>
      </c>
      <c r="B72" s="6">
        <f t="shared" ca="1" si="19"/>
        <v>46071</v>
      </c>
      <c r="C72" s="2">
        <f t="shared" si="20"/>
        <v>22371</v>
      </c>
      <c r="D72" s="3" t="str">
        <f t="shared" ca="1" si="21"/>
        <v>Distribuidora de Bebidas Sul</v>
      </c>
      <c r="E72" s="2" t="str">
        <f t="shared" ca="1" si="22"/>
        <v>Porto Alegre</v>
      </c>
      <c r="F72" s="4">
        <f t="shared" ca="1" si="23"/>
        <v>2025.95</v>
      </c>
      <c r="G72" s="4">
        <f t="shared" ca="1" si="24"/>
        <v>37519</v>
      </c>
      <c r="H72" s="2">
        <f t="shared" ca="1" si="25"/>
        <v>493</v>
      </c>
      <c r="I72" s="13" t="str">
        <f ca="1">VLOOKUP(E72, $O$2:$Q$100, 2, 0)</f>
        <v>LogSul</v>
      </c>
      <c r="J72" s="2" t="str">
        <f t="shared" ca="1" si="26"/>
        <v>Pendente</v>
      </c>
      <c r="K72" s="14">
        <f ca="1">VLOOKUP(E72, $O$2:$Q$100, 3, 0) * H72</f>
        <v>739.5</v>
      </c>
    </row>
    <row r="73" spans="1:11">
      <c r="A73" s="2">
        <f t="shared" si="18"/>
        <v>72</v>
      </c>
      <c r="B73" s="6">
        <f t="shared" ca="1" si="19"/>
        <v>46063</v>
      </c>
      <c r="C73" s="2">
        <f t="shared" si="20"/>
        <v>22372</v>
      </c>
      <c r="D73" s="3" t="str">
        <f t="shared" ca="1" si="21"/>
        <v>Indústria de Móveis Canoas S.A.</v>
      </c>
      <c r="E73" s="2" t="str">
        <f t="shared" ca="1" si="22"/>
        <v>Porto Alegre</v>
      </c>
      <c r="F73" s="4">
        <f t="shared" ca="1" si="23"/>
        <v>1973.7</v>
      </c>
      <c r="G73" s="4">
        <f t="shared" ca="1" si="24"/>
        <v>36474</v>
      </c>
      <c r="H73" s="2">
        <f t="shared" ca="1" si="25"/>
        <v>30</v>
      </c>
      <c r="I73" s="13" t="str">
        <f ca="1">VLOOKUP(E73, $O$2:$Q$100, 2, 0)</f>
        <v>LogSul</v>
      </c>
      <c r="J73" s="2" t="str">
        <f t="shared" ca="1" si="26"/>
        <v>Entregue</v>
      </c>
      <c r="K73" s="14">
        <f ca="1">VLOOKUP(E73, $O$2:$Q$100, 3, 0) * H73</f>
        <v>45</v>
      </c>
    </row>
    <row r="74" spans="1:11">
      <c r="A74" s="2">
        <f t="shared" si="18"/>
        <v>73</v>
      </c>
      <c r="B74" s="6">
        <f t="shared" ca="1" si="19"/>
        <v>46078</v>
      </c>
      <c r="C74" s="2">
        <f t="shared" si="20"/>
        <v>22373</v>
      </c>
      <c r="D74" s="3" t="str">
        <f t="shared" ca="1" si="21"/>
        <v>Logística Vale do Gravataí LTDA</v>
      </c>
      <c r="E74" s="2" t="str">
        <f t="shared" ca="1" si="22"/>
        <v>Porto Alegre</v>
      </c>
      <c r="F74" s="4">
        <f t="shared" ca="1" si="23"/>
        <v>1032.1500000000001</v>
      </c>
      <c r="G74" s="4">
        <f t="shared" ca="1" si="24"/>
        <v>17643</v>
      </c>
      <c r="H74" s="2">
        <f t="shared" ca="1" si="25"/>
        <v>439</v>
      </c>
      <c r="I74" s="13" t="str">
        <f ca="1">VLOOKUP(E74, $O$2:$Q$100, 2, 0)</f>
        <v>LogSul</v>
      </c>
      <c r="J74" s="2" t="str">
        <f t="shared" ca="1" si="26"/>
        <v>Pendente</v>
      </c>
      <c r="K74" s="14">
        <f ca="1">VLOOKUP(E74, $O$2:$Q$100, 3, 0) * H74</f>
        <v>658.5</v>
      </c>
    </row>
    <row r="75" spans="1:11">
      <c r="A75" s="2">
        <f t="shared" si="18"/>
        <v>74</v>
      </c>
      <c r="B75" s="6">
        <f t="shared" ca="1" si="19"/>
        <v>46067</v>
      </c>
      <c r="C75" s="2">
        <f t="shared" si="20"/>
        <v>22374</v>
      </c>
      <c r="D75" s="3" t="str">
        <f t="shared" ca="1" si="21"/>
        <v>Indústria de Móveis Canoas S.A.</v>
      </c>
      <c r="E75" s="2" t="str">
        <f t="shared" ca="1" si="22"/>
        <v>Cachoeirinha</v>
      </c>
      <c r="F75" s="4">
        <f t="shared" ca="1" si="23"/>
        <v>2075</v>
      </c>
      <c r="G75" s="4">
        <f t="shared" ca="1" si="24"/>
        <v>39900</v>
      </c>
      <c r="H75" s="2">
        <f t="shared" ca="1" si="25"/>
        <v>101</v>
      </c>
      <c r="I75" s="13" t="str">
        <f ca="1">VLOOKUP(E75, $O$2:$Q$100, 2, 0)</f>
        <v>Expresso-RS</v>
      </c>
      <c r="J75" s="2" t="str">
        <f t="shared" ca="1" si="26"/>
        <v>Em trânsito</v>
      </c>
      <c r="K75" s="14">
        <f ca="1">VLOOKUP(E75, $O$2:$Q$100, 3, 0) * H75</f>
        <v>212.10000000000002</v>
      </c>
    </row>
    <row r="76" spans="1:11">
      <c r="A76" s="2">
        <f t="shared" si="18"/>
        <v>75</v>
      </c>
      <c r="B76" s="6">
        <f t="shared" ca="1" si="19"/>
        <v>46071</v>
      </c>
      <c r="C76" s="2">
        <f t="shared" si="20"/>
        <v>22375</v>
      </c>
      <c r="D76" s="3" t="str">
        <f t="shared" ca="1" si="21"/>
        <v>Logística Vale do Gravataí LTDA</v>
      </c>
      <c r="E76" s="2" t="str">
        <f t="shared" ca="1" si="22"/>
        <v>Viamão</v>
      </c>
      <c r="F76" s="4">
        <f t="shared" ca="1" si="23"/>
        <v>2447.7000000000003</v>
      </c>
      <c r="G76" s="4">
        <f t="shared" ca="1" si="24"/>
        <v>46954</v>
      </c>
      <c r="H76" s="2">
        <f t="shared" ca="1" si="25"/>
        <v>397</v>
      </c>
      <c r="I76" s="13" t="str">
        <f ca="1">VLOOKUP(E76, $O$2:$Q$100, 2, 0)</f>
        <v>LogSul</v>
      </c>
      <c r="J76" s="2" t="str">
        <f t="shared" ca="1" si="26"/>
        <v>Entregue</v>
      </c>
      <c r="K76" s="14">
        <f ca="1">VLOOKUP(E76, $O$2:$Q$100, 3, 0) * H76</f>
        <v>655.04999999999995</v>
      </c>
    </row>
    <row r="77" spans="1:11">
      <c r="A77" s="2">
        <f t="shared" si="18"/>
        <v>76</v>
      </c>
      <c r="B77" s="6">
        <f t="shared" ca="1" si="19"/>
        <v>46082</v>
      </c>
      <c r="C77" s="2">
        <f t="shared" si="20"/>
        <v>22376</v>
      </c>
      <c r="D77" s="3" t="str">
        <f t="shared" ca="1" si="21"/>
        <v>Guilherme Ferreira</v>
      </c>
      <c r="E77" s="2" t="str">
        <f t="shared" ca="1" si="22"/>
        <v>Canoas</v>
      </c>
      <c r="F77" s="4">
        <f t="shared" ca="1" si="23"/>
        <v>2425</v>
      </c>
      <c r="G77" s="4">
        <f t="shared" ca="1" si="24"/>
        <v>46500</v>
      </c>
      <c r="H77" s="2">
        <f t="shared" ca="1" si="25"/>
        <v>169</v>
      </c>
      <c r="I77" s="13" t="str">
        <f ca="1">VLOOKUP(E77, $O$2:$Q$100, 2, 0)</f>
        <v>TransPampa</v>
      </c>
      <c r="J77" s="2" t="str">
        <f t="shared" ca="1" si="26"/>
        <v>Entregue</v>
      </c>
      <c r="K77" s="14">
        <f ca="1">VLOOKUP(E77, $O$2:$Q$100, 3, 0) * H77</f>
        <v>304.2</v>
      </c>
    </row>
    <row r="78" spans="1:11">
      <c r="A78" s="2">
        <f t="shared" si="18"/>
        <v>77</v>
      </c>
      <c r="B78" s="6">
        <f t="shared" ca="1" si="19"/>
        <v>46061</v>
      </c>
      <c r="C78" s="2">
        <f t="shared" si="20"/>
        <v>22377</v>
      </c>
      <c r="D78" s="3" t="str">
        <f t="shared" ca="1" si="21"/>
        <v>Distribuidora de Bebidas Sul</v>
      </c>
      <c r="E78" s="2" t="str">
        <f t="shared" ca="1" si="22"/>
        <v>Porto Alegre</v>
      </c>
      <c r="F78" s="4">
        <f t="shared" ca="1" si="23"/>
        <v>2197.0500000000002</v>
      </c>
      <c r="G78" s="4">
        <f t="shared" ca="1" si="24"/>
        <v>40941</v>
      </c>
      <c r="H78" s="2">
        <f t="shared" ca="1" si="25"/>
        <v>39</v>
      </c>
      <c r="I78" s="13" t="str">
        <f ca="1">VLOOKUP(E78, $O$2:$Q$100, 2, 0)</f>
        <v>LogSul</v>
      </c>
      <c r="J78" s="2" t="str">
        <f t="shared" ca="1" si="26"/>
        <v>Pendente</v>
      </c>
      <c r="K78" s="14">
        <f ca="1">VLOOKUP(E78, $O$2:$Q$100, 3, 0) * H78</f>
        <v>58.5</v>
      </c>
    </row>
    <row r="79" spans="1:11">
      <c r="A79" s="2">
        <f t="shared" si="18"/>
        <v>78</v>
      </c>
      <c r="B79" s="6">
        <f t="shared" ca="1" si="19"/>
        <v>46068</v>
      </c>
      <c r="C79" s="2">
        <f t="shared" si="20"/>
        <v>22378</v>
      </c>
      <c r="D79" s="3" t="str">
        <f t="shared" ca="1" si="21"/>
        <v>Supermercados Gaúchos</v>
      </c>
      <c r="E79" s="2" t="str">
        <f t="shared" ca="1" si="22"/>
        <v>Cachoeirinha</v>
      </c>
      <c r="F79" s="4">
        <f t="shared" ca="1" si="23"/>
        <v>1582.3500000000001</v>
      </c>
      <c r="G79" s="4">
        <f t="shared" ca="1" si="24"/>
        <v>30047</v>
      </c>
      <c r="H79" s="2">
        <f t="shared" ca="1" si="25"/>
        <v>207</v>
      </c>
      <c r="I79" s="13" t="str">
        <f ca="1">VLOOKUP(E79, $O$2:$Q$100, 2, 0)</f>
        <v>Expresso-RS</v>
      </c>
      <c r="J79" s="2" t="str">
        <f t="shared" ca="1" si="26"/>
        <v>Pendente</v>
      </c>
      <c r="K79" s="14">
        <f ca="1">VLOOKUP(E79, $O$2:$Q$100, 3, 0) * H79</f>
        <v>434.70000000000005</v>
      </c>
    </row>
    <row r="80" spans="1:11">
      <c r="A80" s="2">
        <f t="shared" si="18"/>
        <v>79</v>
      </c>
      <c r="B80" s="6">
        <f t="shared" ca="1" si="19"/>
        <v>46076</v>
      </c>
      <c r="C80" s="2">
        <f t="shared" si="20"/>
        <v>22379</v>
      </c>
      <c r="D80" s="3" t="str">
        <f t="shared" ca="1" si="21"/>
        <v>Antônio Moura</v>
      </c>
      <c r="E80" s="2" t="str">
        <f t="shared" ca="1" si="22"/>
        <v>Porto Alegre</v>
      </c>
      <c r="F80" s="4">
        <f t="shared" ca="1" si="23"/>
        <v>1336</v>
      </c>
      <c r="G80" s="4">
        <f t="shared" ca="1" si="24"/>
        <v>23720</v>
      </c>
      <c r="H80" s="2">
        <f t="shared" ca="1" si="25"/>
        <v>394</v>
      </c>
      <c r="I80" s="13" t="str">
        <f ca="1">VLOOKUP(E80, $O$2:$Q$100, 2, 0)</f>
        <v>LogSul</v>
      </c>
      <c r="J80" s="2" t="str">
        <f t="shared" ca="1" si="26"/>
        <v>Em trânsito</v>
      </c>
      <c r="K80" s="14">
        <f ca="1">VLOOKUP(E80, $O$2:$Q$100, 3, 0) * H80</f>
        <v>591</v>
      </c>
    </row>
    <row r="81" spans="1:11">
      <c r="A81" s="2">
        <f t="shared" si="18"/>
        <v>80</v>
      </c>
      <c r="B81" s="6">
        <f t="shared" ca="1" si="19"/>
        <v>46082</v>
      </c>
      <c r="C81" s="2">
        <f t="shared" si="20"/>
        <v>22380</v>
      </c>
      <c r="D81" s="3" t="str">
        <f t="shared" ca="1" si="21"/>
        <v>Logística Vale do Gravataí LTDA</v>
      </c>
      <c r="E81" s="2" t="str">
        <f t="shared" ca="1" si="22"/>
        <v>Cachoeirinha</v>
      </c>
      <c r="F81" s="4">
        <f t="shared" ca="1" si="23"/>
        <v>1568.65</v>
      </c>
      <c r="G81" s="4">
        <f t="shared" ca="1" si="24"/>
        <v>29773</v>
      </c>
      <c r="H81" s="2">
        <f t="shared" ca="1" si="25"/>
        <v>35</v>
      </c>
      <c r="I81" s="13" t="str">
        <f ca="1">VLOOKUP(E81, $O$2:$Q$100, 2, 0)</f>
        <v>Expresso-RS</v>
      </c>
      <c r="J81" s="2" t="str">
        <f t="shared" ca="1" si="26"/>
        <v>Em trânsito</v>
      </c>
      <c r="K81" s="14">
        <f ca="1">VLOOKUP(E81, $O$2:$Q$100, 3, 0) * H81</f>
        <v>73.5</v>
      </c>
    </row>
    <row r="82" spans="1:11">
      <c r="A82" s="2">
        <f t="shared" si="18"/>
        <v>81</v>
      </c>
      <c r="B82" s="6">
        <f t="shared" ca="1" si="19"/>
        <v>46081</v>
      </c>
      <c r="C82" s="2">
        <f t="shared" si="20"/>
        <v>22381</v>
      </c>
      <c r="D82" s="3" t="str">
        <f t="shared" ca="1" si="21"/>
        <v>Antônio Moura</v>
      </c>
      <c r="E82" s="2" t="str">
        <f t="shared" ca="1" si="22"/>
        <v>Porto Alegre</v>
      </c>
      <c r="F82" s="4">
        <f t="shared" ca="1" si="23"/>
        <v>503.95000000000005</v>
      </c>
      <c r="G82" s="4">
        <f t="shared" ca="1" si="24"/>
        <v>7079</v>
      </c>
      <c r="H82" s="2">
        <f t="shared" ca="1" si="25"/>
        <v>109</v>
      </c>
      <c r="I82" s="13" t="str">
        <f ca="1">VLOOKUP(E82, $O$2:$Q$100, 2, 0)</f>
        <v>LogSul</v>
      </c>
      <c r="J82" s="2" t="str">
        <f t="shared" ca="1" si="26"/>
        <v>Pendente</v>
      </c>
      <c r="K82" s="14">
        <f ca="1">VLOOKUP(E82, $O$2:$Q$100, 3, 0) * H82</f>
        <v>163.5</v>
      </c>
    </row>
    <row r="83" spans="1:11">
      <c r="A83" s="2">
        <f t="shared" si="18"/>
        <v>82</v>
      </c>
      <c r="B83" s="6">
        <f t="shared" ca="1" si="19"/>
        <v>46076</v>
      </c>
      <c r="C83" s="2">
        <f t="shared" si="20"/>
        <v>22382</v>
      </c>
      <c r="D83" s="3" t="str">
        <f t="shared" ca="1" si="21"/>
        <v>Lucas Silva</v>
      </c>
      <c r="E83" s="2" t="str">
        <f t="shared" ca="1" si="22"/>
        <v>Cachoeirinha</v>
      </c>
      <c r="F83" s="4">
        <f t="shared" ca="1" si="23"/>
        <v>854.1</v>
      </c>
      <c r="G83" s="4">
        <f t="shared" ca="1" si="24"/>
        <v>15482</v>
      </c>
      <c r="H83" s="2">
        <f t="shared" ca="1" si="25"/>
        <v>323</v>
      </c>
      <c r="I83" s="13" t="str">
        <f ca="1">VLOOKUP(E83, $O$2:$Q$100, 2, 0)</f>
        <v>Expresso-RS</v>
      </c>
      <c r="J83" s="2" t="str">
        <f t="shared" ca="1" si="26"/>
        <v>Em trânsito</v>
      </c>
      <c r="K83" s="14">
        <f ca="1">VLOOKUP(E83, $O$2:$Q$100, 3, 0) * H83</f>
        <v>678.30000000000007</v>
      </c>
    </row>
    <row r="84" spans="1:11">
      <c r="A84" s="2">
        <f t="shared" si="18"/>
        <v>83</v>
      </c>
      <c r="B84" s="6">
        <f t="shared" ca="1" si="19"/>
        <v>46059</v>
      </c>
      <c r="C84" s="2">
        <f t="shared" si="20"/>
        <v>22383</v>
      </c>
      <c r="D84" s="3" t="str">
        <f t="shared" ca="1" si="21"/>
        <v>Logística Vale do Gravataí LTDA</v>
      </c>
      <c r="E84" s="2" t="str">
        <f t="shared" ca="1" si="22"/>
        <v>Porto Alegre</v>
      </c>
      <c r="F84" s="4">
        <f t="shared" ca="1" si="23"/>
        <v>670.45</v>
      </c>
      <c r="G84" s="4">
        <f t="shared" ca="1" si="24"/>
        <v>10409</v>
      </c>
      <c r="H84" s="2">
        <f t="shared" ca="1" si="25"/>
        <v>358</v>
      </c>
      <c r="I84" s="13" t="str">
        <f ca="1">VLOOKUP(E84, $O$2:$Q$100, 2, 0)</f>
        <v>LogSul</v>
      </c>
      <c r="J84" s="2" t="str">
        <f t="shared" ca="1" si="26"/>
        <v>Em trânsito</v>
      </c>
      <c r="K84" s="14">
        <f ca="1">VLOOKUP(E84, $O$2:$Q$100, 3, 0) * H84</f>
        <v>537</v>
      </c>
    </row>
    <row r="85" spans="1:11">
      <c r="A85" s="2">
        <f t="shared" si="18"/>
        <v>84</v>
      </c>
      <c r="B85" s="6">
        <f t="shared" ca="1" si="19"/>
        <v>46080</v>
      </c>
      <c r="C85" s="2">
        <f t="shared" si="20"/>
        <v>22384</v>
      </c>
      <c r="D85" s="3" t="str">
        <f t="shared" ca="1" si="21"/>
        <v>Supermercados Gaúchos</v>
      </c>
      <c r="E85" s="2" t="str">
        <f t="shared" ca="1" si="22"/>
        <v>Viamão</v>
      </c>
      <c r="F85" s="4">
        <f t="shared" ca="1" si="23"/>
        <v>986</v>
      </c>
      <c r="G85" s="4">
        <f t="shared" ca="1" si="24"/>
        <v>17720</v>
      </c>
      <c r="H85" s="2">
        <f t="shared" ca="1" si="25"/>
        <v>403</v>
      </c>
      <c r="I85" s="13" t="str">
        <f ca="1">VLOOKUP(E85, $O$2:$Q$100, 2, 0)</f>
        <v>LogSul</v>
      </c>
      <c r="J85" s="2" t="str">
        <f t="shared" ca="1" si="26"/>
        <v>Em trânsito</v>
      </c>
      <c r="K85" s="14">
        <f ca="1">VLOOKUP(E85, $O$2:$Q$100, 3, 0) * H85</f>
        <v>664.94999999999993</v>
      </c>
    </row>
    <row r="86" spans="1:11">
      <c r="A86" s="2">
        <f t="shared" si="18"/>
        <v>85</v>
      </c>
      <c r="B86" s="6">
        <f t="shared" ca="1" si="19"/>
        <v>46071</v>
      </c>
      <c r="C86" s="2">
        <f t="shared" si="20"/>
        <v>22385</v>
      </c>
      <c r="D86" s="3" t="str">
        <f t="shared" ca="1" si="21"/>
        <v>Guilherme Ferreira</v>
      </c>
      <c r="E86" s="2" t="str">
        <f t="shared" ca="1" si="22"/>
        <v>Viamão</v>
      </c>
      <c r="F86" s="4">
        <f t="shared" ca="1" si="23"/>
        <v>1330.3500000000001</v>
      </c>
      <c r="G86" s="4">
        <f t="shared" ca="1" si="24"/>
        <v>24607</v>
      </c>
      <c r="H86" s="2">
        <f t="shared" ca="1" si="25"/>
        <v>497</v>
      </c>
      <c r="I86" s="13" t="str">
        <f ca="1">VLOOKUP(E86, $O$2:$Q$100, 2, 0)</f>
        <v>LogSul</v>
      </c>
      <c r="J86" s="2" t="str">
        <f t="shared" ca="1" si="26"/>
        <v>Em trânsito</v>
      </c>
      <c r="K86" s="14">
        <f ca="1">VLOOKUP(E86, $O$2:$Q$100, 3, 0) * H86</f>
        <v>820.05</v>
      </c>
    </row>
    <row r="87" spans="1:11">
      <c r="A87" s="2">
        <f t="shared" si="18"/>
        <v>86</v>
      </c>
      <c r="B87" s="6">
        <f t="shared" ca="1" si="19"/>
        <v>46063</v>
      </c>
      <c r="C87" s="2">
        <f t="shared" si="20"/>
        <v>22386</v>
      </c>
      <c r="D87" s="3" t="str">
        <f t="shared" ca="1" si="21"/>
        <v>Indústria de Móveis Canoas S.A.</v>
      </c>
      <c r="E87" s="2" t="str">
        <f t="shared" ca="1" si="22"/>
        <v>Viamão</v>
      </c>
      <c r="F87" s="4">
        <f t="shared" ca="1" si="23"/>
        <v>190.10000000000002</v>
      </c>
      <c r="G87" s="4">
        <f t="shared" ca="1" si="24"/>
        <v>1802</v>
      </c>
      <c r="H87" s="2">
        <f t="shared" ca="1" si="25"/>
        <v>347</v>
      </c>
      <c r="I87" s="13" t="str">
        <f ca="1">VLOOKUP(E87, $O$2:$Q$100, 2, 0)</f>
        <v>LogSul</v>
      </c>
      <c r="J87" s="2" t="str">
        <f t="shared" ca="1" si="26"/>
        <v>Entregue</v>
      </c>
      <c r="K87" s="14">
        <f ca="1">VLOOKUP(E87, $O$2:$Q$100, 3, 0) * H87</f>
        <v>572.54999999999995</v>
      </c>
    </row>
    <row r="88" spans="1:11">
      <c r="A88" s="2">
        <f t="shared" si="18"/>
        <v>87</v>
      </c>
      <c r="B88" s="6">
        <f t="shared" ca="1" si="19"/>
        <v>46063</v>
      </c>
      <c r="C88" s="2">
        <f t="shared" si="20"/>
        <v>22387</v>
      </c>
      <c r="D88" s="3" t="str">
        <f t="shared" ca="1" si="21"/>
        <v>Lucas Silva</v>
      </c>
      <c r="E88" s="2" t="str">
        <f t="shared" ca="1" si="22"/>
        <v>Viamão</v>
      </c>
      <c r="F88" s="4">
        <f t="shared" ca="1" si="23"/>
        <v>1207.8</v>
      </c>
      <c r="G88" s="4">
        <f t="shared" ca="1" si="24"/>
        <v>22156</v>
      </c>
      <c r="H88" s="2">
        <f t="shared" ca="1" si="25"/>
        <v>195</v>
      </c>
      <c r="I88" s="13" t="str">
        <f ca="1">VLOOKUP(E88, $O$2:$Q$100, 2, 0)</f>
        <v>LogSul</v>
      </c>
      <c r="J88" s="2" t="str">
        <f t="shared" ca="1" si="26"/>
        <v>Pendente</v>
      </c>
      <c r="K88" s="14">
        <f ca="1">VLOOKUP(E88, $O$2:$Q$100, 3, 0) * H88</f>
        <v>321.75</v>
      </c>
    </row>
    <row r="89" spans="1:11">
      <c r="A89" s="2">
        <f t="shared" si="18"/>
        <v>88</v>
      </c>
      <c r="B89" s="6">
        <f t="shared" ca="1" si="19"/>
        <v>46058</v>
      </c>
      <c r="C89" s="2">
        <f t="shared" si="20"/>
        <v>22388</v>
      </c>
      <c r="D89" s="3" t="str">
        <f t="shared" ca="1" si="21"/>
        <v>Indústria de Móveis Canoas S.A.</v>
      </c>
      <c r="E89" s="2" t="str">
        <f t="shared" ca="1" si="22"/>
        <v>Canoas</v>
      </c>
      <c r="F89" s="4">
        <f t="shared" ca="1" si="23"/>
        <v>1545.8500000000001</v>
      </c>
      <c r="G89" s="4">
        <f t="shared" ca="1" si="24"/>
        <v>28917</v>
      </c>
      <c r="H89" s="2">
        <f t="shared" ca="1" si="25"/>
        <v>499</v>
      </c>
      <c r="I89" s="13" t="str">
        <f ca="1">VLOOKUP(E89, $O$2:$Q$100, 2, 0)</f>
        <v>TransPampa</v>
      </c>
      <c r="J89" s="2" t="str">
        <f t="shared" ca="1" si="26"/>
        <v>Pendente</v>
      </c>
      <c r="K89" s="14">
        <f ca="1">VLOOKUP(E89, $O$2:$Q$100, 3, 0) * H89</f>
        <v>898.2</v>
      </c>
    </row>
    <row r="90" spans="1:11">
      <c r="A90" s="2">
        <f t="shared" si="18"/>
        <v>89</v>
      </c>
      <c r="B90" s="6">
        <f t="shared" ca="1" si="19"/>
        <v>46076</v>
      </c>
      <c r="C90" s="2">
        <f t="shared" si="20"/>
        <v>22389</v>
      </c>
      <c r="D90" s="3" t="str">
        <f t="shared" ca="1" si="21"/>
        <v>Logística Vale do Gravataí LTDA</v>
      </c>
      <c r="E90" s="2" t="str">
        <f t="shared" ca="1" si="22"/>
        <v>Canoas</v>
      </c>
      <c r="F90" s="4">
        <f t="shared" ca="1" si="23"/>
        <v>2431.5500000000002</v>
      </c>
      <c r="G90" s="4">
        <f t="shared" ca="1" si="24"/>
        <v>46631</v>
      </c>
      <c r="H90" s="2">
        <f t="shared" ca="1" si="25"/>
        <v>296</v>
      </c>
      <c r="I90" s="13" t="str">
        <f ca="1">VLOOKUP(E90, $O$2:$Q$100, 2, 0)</f>
        <v>TransPampa</v>
      </c>
      <c r="J90" s="2" t="str">
        <f t="shared" ca="1" si="26"/>
        <v>Entregue</v>
      </c>
      <c r="K90" s="14">
        <f ca="1">VLOOKUP(E90, $O$2:$Q$100, 3, 0) * H90</f>
        <v>532.80000000000007</v>
      </c>
    </row>
    <row r="91" spans="1:11">
      <c r="A91" s="2">
        <f t="shared" si="18"/>
        <v>90</v>
      </c>
      <c r="B91" s="6">
        <f t="shared" ca="1" si="19"/>
        <v>46076</v>
      </c>
      <c r="C91" s="2">
        <f t="shared" si="20"/>
        <v>22390</v>
      </c>
      <c r="D91" s="3" t="str">
        <f t="shared" ca="1" si="21"/>
        <v>Antônio Moura</v>
      </c>
      <c r="E91" s="2" t="str">
        <f t="shared" ca="1" si="22"/>
        <v>Porto Alegre</v>
      </c>
      <c r="F91" s="4">
        <f t="shared" ca="1" si="23"/>
        <v>549.79999999999995</v>
      </c>
      <c r="G91" s="4">
        <f t="shared" ca="1" si="24"/>
        <v>7996</v>
      </c>
      <c r="H91" s="2">
        <f t="shared" ca="1" si="25"/>
        <v>217</v>
      </c>
      <c r="I91" s="13" t="str">
        <f ca="1">VLOOKUP(E91, $O$2:$Q$100, 2, 0)</f>
        <v>LogSul</v>
      </c>
      <c r="J91" s="2" t="str">
        <f t="shared" ca="1" si="26"/>
        <v>Pendente</v>
      </c>
      <c r="K91" s="14">
        <f ca="1">VLOOKUP(E91, $O$2:$Q$100, 3, 0) * H91</f>
        <v>325.5</v>
      </c>
    </row>
    <row r="92" spans="1:11">
      <c r="A92" s="2">
        <f t="shared" si="18"/>
        <v>91</v>
      </c>
      <c r="B92" s="6">
        <f t="shared" ca="1" si="19"/>
        <v>46067</v>
      </c>
      <c r="C92" s="2">
        <f t="shared" si="20"/>
        <v>22391</v>
      </c>
      <c r="D92" s="3" t="str">
        <f t="shared" ca="1" si="21"/>
        <v>Lucas Silva</v>
      </c>
      <c r="E92" s="2" t="str">
        <f t="shared" ca="1" si="22"/>
        <v>Cachoeirinha</v>
      </c>
      <c r="F92" s="4">
        <f t="shared" ca="1" si="23"/>
        <v>1543.95</v>
      </c>
      <c r="G92" s="4">
        <f t="shared" ca="1" si="24"/>
        <v>29279</v>
      </c>
      <c r="H92" s="2">
        <f t="shared" ca="1" si="25"/>
        <v>379</v>
      </c>
      <c r="I92" s="13" t="str">
        <f ca="1">VLOOKUP(E92, $O$2:$Q$100, 2, 0)</f>
        <v>Expresso-RS</v>
      </c>
      <c r="J92" s="2" t="str">
        <f t="shared" ca="1" si="26"/>
        <v>Em trânsito</v>
      </c>
      <c r="K92" s="14">
        <f ca="1">VLOOKUP(E92, $O$2:$Q$100, 3, 0) * H92</f>
        <v>795.9</v>
      </c>
    </row>
    <row r="93" spans="1:11">
      <c r="A93" s="2">
        <f t="shared" si="18"/>
        <v>92</v>
      </c>
      <c r="B93" s="6">
        <f t="shared" ca="1" si="19"/>
        <v>46077</v>
      </c>
      <c r="C93" s="2">
        <f t="shared" si="20"/>
        <v>22392</v>
      </c>
      <c r="D93" s="3" t="str">
        <f t="shared" ca="1" si="21"/>
        <v>Supermercados Gaúchos</v>
      </c>
      <c r="E93" s="2" t="str">
        <f t="shared" ca="1" si="22"/>
        <v>Porto Alegre</v>
      </c>
      <c r="F93" s="4">
        <f t="shared" ca="1" si="23"/>
        <v>1529.2</v>
      </c>
      <c r="G93" s="4">
        <f t="shared" ca="1" si="24"/>
        <v>27584</v>
      </c>
      <c r="H93" s="2">
        <f t="shared" ca="1" si="25"/>
        <v>16</v>
      </c>
      <c r="I93" s="13" t="str">
        <f ca="1">VLOOKUP(E93, $O$2:$Q$100, 2, 0)</f>
        <v>LogSul</v>
      </c>
      <c r="J93" s="2" t="str">
        <f t="shared" ca="1" si="26"/>
        <v>Entregue</v>
      </c>
      <c r="K93" s="14">
        <f ca="1">VLOOKUP(E93, $O$2:$Q$100, 3, 0) * H93</f>
        <v>24</v>
      </c>
    </row>
    <row r="94" spans="1:11">
      <c r="A94" s="2">
        <f t="shared" si="18"/>
        <v>93</v>
      </c>
      <c r="B94" s="6">
        <f t="shared" ca="1" si="19"/>
        <v>46079</v>
      </c>
      <c r="C94" s="2">
        <f t="shared" si="20"/>
        <v>22393</v>
      </c>
      <c r="D94" s="3" t="str">
        <f t="shared" ca="1" si="21"/>
        <v>Lucas Silva</v>
      </c>
      <c r="E94" s="2" t="str">
        <f t="shared" ca="1" si="22"/>
        <v>Porto Alegre</v>
      </c>
      <c r="F94" s="4">
        <f t="shared" ca="1" si="23"/>
        <v>1763.2</v>
      </c>
      <c r="G94" s="4">
        <f t="shared" ca="1" si="24"/>
        <v>32264</v>
      </c>
      <c r="H94" s="2">
        <f t="shared" ca="1" si="25"/>
        <v>182</v>
      </c>
      <c r="I94" s="13" t="str">
        <f ca="1">VLOOKUP(E94, $O$2:$Q$100, 2, 0)</f>
        <v>LogSul</v>
      </c>
      <c r="J94" s="2" t="str">
        <f t="shared" ca="1" si="26"/>
        <v>Pendente</v>
      </c>
      <c r="K94" s="14">
        <f ca="1">VLOOKUP(E94, $O$2:$Q$100, 3, 0) * H94</f>
        <v>273</v>
      </c>
    </row>
    <row r="95" spans="1:11">
      <c r="A95" s="2">
        <f t="shared" si="18"/>
        <v>94</v>
      </c>
      <c r="B95" s="6">
        <f t="shared" ca="1" si="19"/>
        <v>46059</v>
      </c>
      <c r="C95" s="2">
        <f t="shared" si="20"/>
        <v>22394</v>
      </c>
      <c r="D95" s="3" t="str">
        <f t="shared" ca="1" si="21"/>
        <v>Indústria de Móveis Canoas S.A.</v>
      </c>
      <c r="E95" s="2" t="str">
        <f t="shared" ca="1" si="22"/>
        <v>Porto Alegre</v>
      </c>
      <c r="F95" s="4">
        <f t="shared" ca="1" si="23"/>
        <v>1033.1500000000001</v>
      </c>
      <c r="G95" s="4">
        <f t="shared" ca="1" si="24"/>
        <v>17663</v>
      </c>
      <c r="H95" s="2">
        <f t="shared" ca="1" si="25"/>
        <v>199</v>
      </c>
      <c r="I95" s="13" t="str">
        <f ca="1">VLOOKUP(E95, $O$2:$Q$100, 2, 0)</f>
        <v>LogSul</v>
      </c>
      <c r="J95" s="2" t="str">
        <f t="shared" ca="1" si="26"/>
        <v>Pendente</v>
      </c>
      <c r="K95" s="14">
        <f ca="1">VLOOKUP(E95, $O$2:$Q$100, 3, 0) * H95</f>
        <v>298.5</v>
      </c>
    </row>
    <row r="96" spans="1:11">
      <c r="A96" s="2">
        <f t="shared" si="18"/>
        <v>95</v>
      </c>
      <c r="B96" s="6">
        <f t="shared" ca="1" si="19"/>
        <v>46065</v>
      </c>
      <c r="C96" s="2">
        <f t="shared" si="20"/>
        <v>22395</v>
      </c>
      <c r="D96" s="3" t="str">
        <f t="shared" ca="1" si="21"/>
        <v>Lucas Silva</v>
      </c>
      <c r="E96" s="2" t="str">
        <f t="shared" ca="1" si="22"/>
        <v>Cachoeirinha</v>
      </c>
      <c r="F96" s="4">
        <f t="shared" ca="1" si="23"/>
        <v>600.75</v>
      </c>
      <c r="G96" s="4">
        <f t="shared" ca="1" si="24"/>
        <v>10415</v>
      </c>
      <c r="H96" s="2">
        <f t="shared" ca="1" si="25"/>
        <v>489</v>
      </c>
      <c r="I96" s="13" t="str">
        <f ca="1">VLOOKUP(E96, $O$2:$Q$100, 2, 0)</f>
        <v>Expresso-RS</v>
      </c>
      <c r="J96" s="2" t="str">
        <f t="shared" ca="1" si="26"/>
        <v>Entregue</v>
      </c>
      <c r="K96" s="14">
        <f ca="1">VLOOKUP(E96, $O$2:$Q$100, 3, 0) * H96</f>
        <v>1026.9000000000001</v>
      </c>
    </row>
    <row r="97" spans="1:11">
      <c r="A97" s="2">
        <f t="shared" si="18"/>
        <v>96</v>
      </c>
      <c r="B97" s="6">
        <f t="shared" ca="1" si="19"/>
        <v>46062</v>
      </c>
      <c r="C97" s="2">
        <f t="shared" si="20"/>
        <v>22396</v>
      </c>
      <c r="D97" s="3" t="str">
        <f t="shared" ca="1" si="21"/>
        <v>Indústria de Móveis Canoas S.A.</v>
      </c>
      <c r="E97" s="2" t="str">
        <f t="shared" ca="1" si="22"/>
        <v>Cachoeirinha</v>
      </c>
      <c r="F97" s="4">
        <f t="shared" ca="1" si="23"/>
        <v>797.30000000000007</v>
      </c>
      <c r="G97" s="4">
        <f t="shared" ca="1" si="24"/>
        <v>14346</v>
      </c>
      <c r="H97" s="2">
        <f t="shared" ca="1" si="25"/>
        <v>403</v>
      </c>
      <c r="I97" s="13" t="str">
        <f ca="1">VLOOKUP(E97, $O$2:$Q$100, 2, 0)</f>
        <v>Expresso-RS</v>
      </c>
      <c r="J97" s="2" t="str">
        <f t="shared" ca="1" si="26"/>
        <v>Entregue</v>
      </c>
      <c r="K97" s="14">
        <f ca="1">VLOOKUP(E97, $O$2:$Q$100, 3, 0) * H97</f>
        <v>846.30000000000007</v>
      </c>
    </row>
    <row r="98" spans="1:11">
      <c r="A98" s="2">
        <f t="shared" si="18"/>
        <v>97</v>
      </c>
      <c r="B98" s="6">
        <f t="shared" ca="1" si="19"/>
        <v>46062</v>
      </c>
      <c r="C98" s="2">
        <f t="shared" si="20"/>
        <v>22397</v>
      </c>
      <c r="D98" s="3" t="str">
        <f t="shared" ca="1" si="21"/>
        <v>Guilherme Ferreira</v>
      </c>
      <c r="E98" s="2" t="str">
        <f t="shared" ca="1" si="22"/>
        <v>Viamão</v>
      </c>
      <c r="F98" s="4">
        <f t="shared" ref="F98:F129" ca="1" si="27">IF(E98="Cachoeirinha", 80, IF(E98="Porto Alegre", 150, 100)) + (G98 * 0.05)</f>
        <v>2040.3500000000001</v>
      </c>
      <c r="G98" s="4">
        <f t="shared" ca="1" si="24"/>
        <v>38807</v>
      </c>
      <c r="H98" s="2">
        <f t="shared" ca="1" si="25"/>
        <v>223</v>
      </c>
      <c r="I98" s="13" t="str">
        <f ca="1">VLOOKUP(E98, $O$2:$Q$100, 2, 0)</f>
        <v>LogSul</v>
      </c>
      <c r="J98" s="2" t="str">
        <f t="shared" ca="1" si="26"/>
        <v>Entregue</v>
      </c>
      <c r="K98" s="14">
        <f ca="1">VLOOKUP(E98, $O$2:$Q$100, 3, 0) * H98</f>
        <v>367.95</v>
      </c>
    </row>
    <row r="99" spans="1:11">
      <c r="A99" s="2">
        <f t="shared" si="18"/>
        <v>98</v>
      </c>
      <c r="B99" s="6">
        <f t="shared" ca="1" si="19"/>
        <v>46069</v>
      </c>
      <c r="C99" s="2">
        <f t="shared" si="20"/>
        <v>22398</v>
      </c>
      <c r="D99" s="3" t="str">
        <f t="shared" ca="1" si="21"/>
        <v>Lucas Silva</v>
      </c>
      <c r="E99" s="2" t="str">
        <f t="shared" ca="1" si="22"/>
        <v>Viamão</v>
      </c>
      <c r="F99" s="4">
        <f t="shared" ca="1" si="27"/>
        <v>776.7</v>
      </c>
      <c r="G99" s="4">
        <f t="shared" ca="1" si="24"/>
        <v>13534</v>
      </c>
      <c r="H99" s="2">
        <f t="shared" ca="1" si="25"/>
        <v>482</v>
      </c>
      <c r="I99" s="13" t="str">
        <f ca="1">VLOOKUP(E99, $O$2:$Q$100, 2, 0)</f>
        <v>LogSul</v>
      </c>
      <c r="J99" s="2" t="str">
        <f t="shared" ca="1" si="26"/>
        <v>Em trânsito</v>
      </c>
      <c r="K99" s="14">
        <f ca="1">VLOOKUP(E99, $O$2:$Q$100, 3, 0) * H99</f>
        <v>795.3</v>
      </c>
    </row>
    <row r="100" spans="1:11">
      <c r="A100" s="2">
        <f t="shared" si="18"/>
        <v>99</v>
      </c>
      <c r="B100" s="6">
        <f t="shared" ca="1" si="19"/>
        <v>46057</v>
      </c>
      <c r="C100" s="2">
        <f t="shared" si="20"/>
        <v>22399</v>
      </c>
      <c r="D100" s="3" t="str">
        <f t="shared" ca="1" si="21"/>
        <v>Logística Vale do Gravataí LTDA</v>
      </c>
      <c r="E100" s="2" t="str">
        <f t="shared" ca="1" si="22"/>
        <v>Viamão</v>
      </c>
      <c r="F100" s="4">
        <f t="shared" ca="1" si="27"/>
        <v>2151.9500000000003</v>
      </c>
      <c r="G100" s="4">
        <f t="shared" ca="1" si="24"/>
        <v>41039</v>
      </c>
      <c r="H100" s="2">
        <f t="shared" ca="1" si="25"/>
        <v>241</v>
      </c>
      <c r="I100" s="13" t="str">
        <f ca="1">VLOOKUP(E100, $O$2:$Q$100, 2, 0)</f>
        <v>LogSul</v>
      </c>
      <c r="J100" s="2" t="str">
        <f t="shared" ca="1" si="26"/>
        <v>Em trânsito</v>
      </c>
      <c r="K100" s="14">
        <f ca="1">VLOOKUP(E100, $O$2:$Q$100, 3, 0) * H100</f>
        <v>397.65</v>
      </c>
    </row>
  </sheetData>
  <conditionalFormatting sqref="J1:J1048576">
    <cfRule type="containsText" dxfId="15" priority="2" operator="containsText" text="Entregue">
      <formula>NOT(ISERROR(SEARCH("Entregue",J1)))</formula>
    </cfRule>
  </conditionalFormatting>
  <conditionalFormatting sqref="J1:J1048576">
    <cfRule type="containsText" dxfId="14" priority="1" operator="containsText" text="Pendente">
      <formula>NOT(ISERROR(SEARCH("Pendente",J1)))</formula>
    </cfRule>
  </conditionalFormatting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Guilherme De Oliveira Ferreira</cp:lastModifiedBy>
  <cp:revision/>
  <dcterms:created xsi:type="dcterms:W3CDTF">2026-02-24T22:19:49Z</dcterms:created>
  <dcterms:modified xsi:type="dcterms:W3CDTF">2026-03-03T01:04:35Z</dcterms:modified>
  <cp:category/>
  <cp:contentStatus/>
</cp:coreProperties>
</file>